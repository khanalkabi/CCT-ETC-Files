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450" firstSheet="3" activeTab="5"/>
  </bookViews>
  <sheets>
    <sheet name="Pharmaceutics X" sheetId="5" r:id="rId1"/>
    <sheet name="Industrial Pharmacy" sheetId="6" r:id="rId2"/>
    <sheet name="Hospital  and Community Pharmac" sheetId="7" r:id="rId3"/>
    <sheet name="Toxicology" sheetId="8" r:id="rId4"/>
    <sheet name="Medicinal chemistry II" sheetId="9" r:id="rId5"/>
    <sheet name="Pharmaceutical Mnagement n Entr" sheetId="10" r:id="rId6"/>
  </sheets>
  <calcPr calcId="162913"/>
</workbook>
</file>

<file path=xl/calcChain.xml><?xml version="1.0" encoding="utf-8"?>
<calcChain xmlns="http://schemas.openxmlformats.org/spreadsheetml/2006/main">
  <c r="M7" i="10" l="1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6" i="10"/>
  <c r="K27" i="10"/>
  <c r="K28" i="10"/>
  <c r="K29" i="10"/>
  <c r="K30" i="10"/>
  <c r="K31" i="10"/>
  <c r="I7" i="10"/>
  <c r="I8" i="10"/>
  <c r="I9" i="10"/>
  <c r="I10" i="10"/>
  <c r="I11" i="10"/>
  <c r="I12" i="10"/>
  <c r="I13" i="10"/>
  <c r="I14" i="10"/>
  <c r="I15" i="10"/>
  <c r="I16" i="10"/>
  <c r="I17" i="10"/>
  <c r="I18" i="10"/>
  <c r="I19" i="10"/>
  <c r="I21" i="10"/>
  <c r="I22" i="10"/>
  <c r="I23" i="10"/>
  <c r="I24" i="10"/>
  <c r="I25" i="10"/>
  <c r="I26" i="10"/>
  <c r="I27" i="10"/>
  <c r="I28" i="10"/>
  <c r="I29" i="10"/>
  <c r="I30" i="10"/>
  <c r="I31" i="10"/>
  <c r="K6" i="10"/>
  <c r="I6" i="10"/>
  <c r="L7" i="9" l="1"/>
  <c r="L8" i="9"/>
  <c r="L9" i="9"/>
  <c r="L10" i="9"/>
  <c r="L11" i="9"/>
  <c r="L12" i="9"/>
  <c r="L13" i="9"/>
  <c r="L14" i="9"/>
  <c r="L15" i="9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6" i="9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6" i="8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6" i="7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6" i="6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6" i="5"/>
  <c r="J7" i="9" l="1"/>
  <c r="J8" i="9"/>
  <c r="J9" i="9"/>
  <c r="J10" i="9"/>
  <c r="J11" i="9"/>
  <c r="J12" i="9"/>
  <c r="J13" i="9"/>
  <c r="J14" i="9"/>
  <c r="J15" i="9"/>
  <c r="J16" i="9"/>
  <c r="J17" i="9"/>
  <c r="J18" i="9"/>
  <c r="J19" i="9"/>
  <c r="J20" i="9"/>
  <c r="J21" i="9"/>
  <c r="J22" i="9"/>
  <c r="J23" i="9"/>
  <c r="J24" i="9"/>
  <c r="J25" i="9"/>
  <c r="J26" i="9"/>
  <c r="J27" i="9"/>
  <c r="J28" i="9"/>
  <c r="J29" i="9"/>
  <c r="J30" i="9"/>
  <c r="J31" i="9"/>
  <c r="N29" i="9" l="1"/>
  <c r="N28" i="9"/>
  <c r="N24" i="9"/>
  <c r="N21" i="9"/>
  <c r="N20" i="9"/>
  <c r="N17" i="9"/>
  <c r="N12" i="9"/>
  <c r="N11" i="9"/>
  <c r="N9" i="9"/>
  <c r="N8" i="9"/>
  <c r="J6" i="9"/>
  <c r="N6" i="9" s="1"/>
  <c r="J7" i="8"/>
  <c r="N7" i="8" s="1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N24" i="8" s="1"/>
  <c r="J25" i="8"/>
  <c r="J26" i="8"/>
  <c r="J27" i="8"/>
  <c r="N27" i="8" s="1"/>
  <c r="J28" i="8"/>
  <c r="J29" i="8"/>
  <c r="J30" i="8"/>
  <c r="N30" i="8" s="1"/>
  <c r="J31" i="8"/>
  <c r="N22" i="8"/>
  <c r="N9" i="8"/>
  <c r="J6" i="8"/>
  <c r="N18" i="7"/>
  <c r="N30" i="7"/>
  <c r="J7" i="7"/>
  <c r="J8" i="7"/>
  <c r="J9" i="7"/>
  <c r="J10" i="7"/>
  <c r="J11" i="7"/>
  <c r="N11" i="7" s="1"/>
  <c r="J12" i="7"/>
  <c r="N12" i="7" s="1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N27" i="7"/>
  <c r="N6" i="7"/>
  <c r="J6" i="7"/>
  <c r="N24" i="6"/>
  <c r="N25" i="6"/>
  <c r="J7" i="6"/>
  <c r="J8" i="6"/>
  <c r="J9" i="6"/>
  <c r="J10" i="6"/>
  <c r="J11" i="6"/>
  <c r="J12" i="6"/>
  <c r="N12" i="6" s="1"/>
  <c r="J13" i="6"/>
  <c r="J14" i="6"/>
  <c r="N14" i="6" s="1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N28" i="6" s="1"/>
  <c r="J29" i="6"/>
  <c r="J30" i="6"/>
  <c r="J31" i="6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N20" i="6"/>
  <c r="J6" i="6"/>
  <c r="J6" i="5"/>
  <c r="N22" i="7" l="1"/>
  <c r="N31" i="8"/>
  <c r="N16" i="8"/>
  <c r="N19" i="7"/>
  <c r="N15" i="8"/>
  <c r="N6" i="8"/>
  <c r="N12" i="8"/>
  <c r="N30" i="6"/>
  <c r="N6" i="6"/>
  <c r="N14" i="9"/>
  <c r="N31" i="9"/>
  <c r="N10" i="9"/>
  <c r="N13" i="9"/>
  <c r="N23" i="9"/>
  <c r="N16" i="9"/>
  <c r="N19" i="9"/>
  <c r="N22" i="9"/>
  <c r="N15" i="9"/>
  <c r="N25" i="9"/>
  <c r="N7" i="9"/>
  <c r="N27" i="9"/>
  <c r="N30" i="9"/>
  <c r="N26" i="9"/>
  <c r="N18" i="9"/>
  <c r="N28" i="8"/>
  <c r="N25" i="8"/>
  <c r="N19" i="8"/>
  <c r="N21" i="8"/>
  <c r="N14" i="8"/>
  <c r="N10" i="8"/>
  <c r="N20" i="8"/>
  <c r="N8" i="8"/>
  <c r="N18" i="8"/>
  <c r="N17" i="8"/>
  <c r="N13" i="8"/>
  <c r="N23" i="8"/>
  <c r="N26" i="8"/>
  <c r="N29" i="8"/>
  <c r="N11" i="8"/>
  <c r="N15" i="7"/>
  <c r="N31" i="7"/>
  <c r="N7" i="7"/>
  <c r="N28" i="7"/>
  <c r="N10" i="7"/>
  <c r="N9" i="7"/>
  <c r="N25" i="7"/>
  <c r="N8" i="7"/>
  <c r="N17" i="7"/>
  <c r="N24" i="7"/>
  <c r="N13" i="7"/>
  <c r="N16" i="7"/>
  <c r="N23" i="7"/>
  <c r="N26" i="7"/>
  <c r="N14" i="7"/>
  <c r="N21" i="7"/>
  <c r="N20" i="7"/>
  <c r="N29" i="7"/>
  <c r="N31" i="6"/>
  <c r="N17" i="6"/>
  <c r="N23" i="6"/>
  <c r="N19" i="6"/>
  <c r="N15" i="6"/>
  <c r="N8" i="6"/>
  <c r="N9" i="6"/>
  <c r="N22" i="6"/>
  <c r="N18" i="6"/>
  <c r="N21" i="6"/>
  <c r="N11" i="6"/>
  <c r="N26" i="6"/>
  <c r="N27" i="6"/>
  <c r="N7" i="6"/>
  <c r="N10" i="6"/>
  <c r="N13" i="6"/>
  <c r="N16" i="6"/>
  <c r="N29" i="6"/>
  <c r="N19" i="5"/>
  <c r="N18" i="5"/>
  <c r="N12" i="5"/>
  <c r="N8" i="5"/>
  <c r="N10" i="5"/>
  <c r="N15" i="5"/>
  <c r="N20" i="5"/>
  <c r="N21" i="5"/>
  <c r="N16" i="5"/>
  <c r="N14" i="5"/>
  <c r="N13" i="5"/>
  <c r="N11" i="5"/>
  <c r="N9" i="5"/>
  <c r="N7" i="5"/>
  <c r="N6" i="5"/>
  <c r="N30" i="5"/>
  <c r="N28" i="5"/>
  <c r="N26" i="5"/>
  <c r="N24" i="5"/>
  <c r="N22" i="5"/>
  <c r="N31" i="5"/>
  <c r="N29" i="5"/>
  <c r="N27" i="5"/>
  <c r="N25" i="5"/>
  <c r="N23" i="5"/>
  <c r="N17" i="5"/>
</calcChain>
</file>

<file path=xl/sharedStrings.xml><?xml version="1.0" encoding="utf-8"?>
<sst xmlns="http://schemas.openxmlformats.org/spreadsheetml/2006/main" count="285" uniqueCount="62">
  <si>
    <t>Crimson College of Technology</t>
  </si>
  <si>
    <t>Devinagar, Butwal-11, Ruapndehi</t>
  </si>
  <si>
    <t>Date:……………….…………</t>
  </si>
  <si>
    <t>SN</t>
  </si>
  <si>
    <t>Symbol No</t>
  </si>
  <si>
    <t>Name</t>
  </si>
  <si>
    <t>Assignments (5Marks)</t>
  </si>
  <si>
    <t>Unit Test (5Marks)</t>
  </si>
  <si>
    <t xml:space="preserve">Marks Obtained in First Term </t>
  </si>
  <si>
    <t>First Term Exam (10Marks)</t>
  </si>
  <si>
    <t>Send Up Exam Marks[100]</t>
  </si>
  <si>
    <t>Send-Up Marks After Conversion</t>
  </si>
  <si>
    <t>Grace Marks</t>
  </si>
  <si>
    <t>Total Marks (50%)</t>
  </si>
  <si>
    <t>Lecturer Signature</t>
  </si>
  <si>
    <t>Program :  B.Pharm</t>
  </si>
  <si>
    <t>Sub: Pharmaceutics X (Ouality Assurance)</t>
  </si>
  <si>
    <t>Semester :VI</t>
  </si>
  <si>
    <t xml:space="preserve">Total Attendance </t>
  </si>
  <si>
    <t>Students'  Evaluation Sheet  Fall-2025</t>
  </si>
  <si>
    <t>Aman Agrahari</t>
  </si>
  <si>
    <t>Asmita Thapa Magar</t>
  </si>
  <si>
    <t>Ayush Sapkota</t>
  </si>
  <si>
    <t>Bandana Chaudhary</t>
  </si>
  <si>
    <t>Barsha Pokheral</t>
  </si>
  <si>
    <t>Binayak Kumar Mandal (PU)</t>
  </si>
  <si>
    <t>Bipin Jung Thapa</t>
  </si>
  <si>
    <t>Bishal Luitel</t>
  </si>
  <si>
    <t>Bishnu Kumari Yadav</t>
  </si>
  <si>
    <t>Dipendra Chaudhary</t>
  </si>
  <si>
    <t>Ketan Sharma Bastakoti</t>
  </si>
  <si>
    <t>Kriti Adhikari (PU)</t>
  </si>
  <si>
    <t>Kumkum Agrahari</t>
  </si>
  <si>
    <t>Pooja Bhusal</t>
  </si>
  <si>
    <t>Pradeep Kumar Chaudhary (PU)</t>
  </si>
  <si>
    <t>Punam Thapa</t>
  </si>
  <si>
    <t>Ranijt Yadav (PU)</t>
  </si>
  <si>
    <t>Sarmila Kunwar Chhetri</t>
  </si>
  <si>
    <t>Serina Nisha</t>
  </si>
  <si>
    <t>Sharfuddin Dhuniya</t>
  </si>
  <si>
    <t>Shikha Sahani</t>
  </si>
  <si>
    <t>Shruti Ghimire</t>
  </si>
  <si>
    <t>Simran Kumari Chaudhary</t>
  </si>
  <si>
    <t>Sonu Chai</t>
  </si>
  <si>
    <t>Suraj Yadav</t>
  </si>
  <si>
    <t>Tina Balal</t>
  </si>
  <si>
    <t>Sub:  Pharmaceutics VIII (Industrial Pharmacy)</t>
  </si>
  <si>
    <t>Abs</t>
  </si>
  <si>
    <t>Sub:   Pharmaceutics IX (Hospital and community Pharmacy)</t>
  </si>
  <si>
    <t>Sub:   Pharmacology III(Toxicology)</t>
  </si>
  <si>
    <t>Sub:   Medicinal Chemistry II</t>
  </si>
  <si>
    <t>Sub:   Pharmaceutical Management and Entrepreneurship</t>
  </si>
  <si>
    <t>Attendance (5 Marks)</t>
  </si>
  <si>
    <t>Presentation (5 Marks)</t>
  </si>
  <si>
    <t>Attendane [5]</t>
  </si>
  <si>
    <t>Discipline [5]</t>
  </si>
  <si>
    <t>Assignment [5]</t>
  </si>
  <si>
    <t>Presentation/Project [5]</t>
  </si>
  <si>
    <t>Mid Term [10]</t>
  </si>
  <si>
    <t>Final Term [20]</t>
  </si>
  <si>
    <t>Mid Term [50]</t>
  </si>
  <si>
    <t>Final Term [100]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</si>
</sst>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theme="1"/>
      <name val="Calibri"/>
      <family val="2"/>
      <scheme val="minor"/>
    </font>
    <font>
      <b/>
      <sz val="13"/>
      <color theme="1"/>
      <name val="Cambria"/>
      <family val="1"/>
    </font>
    <font>
      <b/>
      <sz val="10"/>
      <color theme="1"/>
      <name val="Cambria"/>
      <family val="1"/>
    </font>
    <font>
      <b/>
      <sz val="14"/>
      <name val="Agency FB"/>
      <family val="2"/>
    </font>
    <font>
      <b/>
      <sz val="12"/>
      <name val="Cambria"/>
      <family val="1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sz val="10"/>
      <color theme="1"/>
      <name val="Calibri"/>
      <family val="2"/>
      <scheme val="minor"/>
    </font>
    <font>
      <sz val="9"/>
      <name val="Arial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2" borderId="0" xfId="0" applyFont="1" applyFill="1"/>
    <xf numFmtId="0" fontId="5" fillId="2" borderId="0" xfId="0" applyFont="1" applyFill="1"/>
    <xf numFmtId="0" fontId="5" fillId="2" borderId="1" xfId="0" applyFont="1" applyFill="1" applyBorder="1" applyAlignment="1"/>
    <xf numFmtId="0" fontId="6" fillId="2" borderId="1" xfId="0" applyFont="1" applyFill="1" applyBorder="1" applyAlignment="1"/>
    <xf numFmtId="0" fontId="8" fillId="2" borderId="2" xfId="0" applyFont="1" applyFill="1" applyBorder="1" applyAlignment="1">
      <alignment horizontal="center" vertical="top"/>
    </xf>
    <xf numFmtId="0" fontId="9" fillId="2" borderId="3" xfId="0" applyFont="1" applyFill="1" applyBorder="1" applyAlignment="1">
      <alignment horizontal="center" vertical="top" wrapText="1"/>
    </xf>
    <xf numFmtId="0" fontId="10" fillId="2" borderId="3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2" xfId="0" applyFont="1" applyFill="1" applyBorder="1" applyAlignment="1">
      <alignment horizontal="center" vertical="top" wrapText="1"/>
    </xf>
    <xf numFmtId="0" fontId="8" fillId="2" borderId="3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0" fillId="2" borderId="6" xfId="0" applyFill="1" applyBorder="1" applyAlignment="1">
      <alignment horizontal="center"/>
    </xf>
    <xf numFmtId="0" fontId="11" fillId="2" borderId="3" xfId="0" applyFont="1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0" fontId="0" fillId="2" borderId="3" xfId="0" applyFill="1" applyBorder="1"/>
    <xf numFmtId="0" fontId="0" fillId="0" borderId="3" xfId="0" applyBorder="1"/>
    <xf numFmtId="0" fontId="0" fillId="0" borderId="0" xfId="0" applyBorder="1"/>
    <xf numFmtId="0" fontId="0" fillId="2" borderId="7" xfId="0" applyFill="1" applyBorder="1"/>
    <xf numFmtId="0" fontId="0" fillId="2" borderId="8" xfId="0" applyFill="1" applyBorder="1"/>
    <xf numFmtId="0" fontId="14" fillId="2" borderId="3" xfId="0" applyFont="1" applyFill="1" applyBorder="1" applyAlignment="1">
      <alignment horizontal="center"/>
    </xf>
    <xf numFmtId="0" fontId="15" fillId="0" borderId="3" xfId="0" applyFont="1" applyBorder="1" applyAlignment="1">
      <alignment horizontal="center"/>
    </xf>
    <xf numFmtId="0" fontId="0" fillId="0" borderId="0" xfId="0" applyFont="1"/>
    <xf numFmtId="0" fontId="15" fillId="2" borderId="3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  <xf numFmtId="0" fontId="13" fillId="2" borderId="0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Border="1" applyAlignment="1"/>
    <xf numFmtId="0" fontId="6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2" borderId="9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136087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646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155137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837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117037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4563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136087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64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117037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265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136087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4563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117037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265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136087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456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117037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265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136087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4563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117037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26587"/>
        </a:xfrm>
        <a:prstGeom prst="rect">
          <a:avLst/>
        </a:prstGeom>
      </xdr:spPr>
    </xdr:pic>
    <xdr:clientData/>
  </xdr:twoCellAnchor>
  <xdr:twoCellAnchor editAs="oneCell">
    <xdr:from>
      <xdr:col>0</xdr:col>
      <xdr:colOff>205055</xdr:colOff>
      <xdr:row>0</xdr:row>
      <xdr:rowOff>76638</xdr:rowOff>
    </xdr:from>
    <xdr:to>
      <xdr:col>1</xdr:col>
      <xdr:colOff>583364</xdr:colOff>
      <xdr:row>0</xdr:row>
      <xdr:rowOff>79563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5055" y="76638"/>
          <a:ext cx="987909" cy="29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395791</xdr:colOff>
      <xdr:row>1</xdr:row>
      <xdr:rowOff>136087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005391" cy="3456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8"/>
  <sheetViews>
    <sheetView topLeftCell="B2" workbookViewId="0">
      <selection activeCell="H5" sqref="H5"/>
    </sheetView>
  </sheetViews>
  <sheetFormatPr defaultRowHeight="15" x14ac:dyDescent="0.25"/>
  <cols>
    <col min="2" max="2" width="12" customWidth="1"/>
    <col min="3" max="3" width="29.85546875" customWidth="1"/>
    <col min="4" max="4" width="12.5703125" customWidth="1"/>
    <col min="5" max="5" width="12" customWidth="1"/>
    <col min="6" max="6" width="17.42578125" customWidth="1"/>
    <col min="9" max="9" width="14.42578125" customWidth="1"/>
    <col min="10" max="10" width="13.85546875" customWidth="1"/>
    <col min="11" max="11" width="22.28515625" customWidth="1"/>
    <col min="12" max="12" width="12.85546875" customWidth="1"/>
  </cols>
  <sheetData>
    <row r="1" spans="1:14" ht="16.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5" x14ac:dyDescent="0.3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16.5" thickBot="1" x14ac:dyDescent="0.3">
      <c r="A4" s="32" t="s">
        <v>15</v>
      </c>
      <c r="B4" s="33"/>
      <c r="C4" s="34" t="s">
        <v>17</v>
      </c>
      <c r="D4" s="35"/>
      <c r="E4" s="35"/>
      <c r="F4" s="1" t="s">
        <v>16</v>
      </c>
      <c r="G4" s="2"/>
      <c r="H4" s="3"/>
      <c r="I4" s="2"/>
      <c r="J4" s="2"/>
      <c r="K4" s="2"/>
      <c r="L4" s="4" t="s">
        <v>2</v>
      </c>
      <c r="M4" s="2"/>
      <c r="N4" s="2"/>
    </row>
    <row r="5" spans="1:14" ht="33.75" x14ac:dyDescent="0.25">
      <c r="A5" s="5" t="s">
        <v>3</v>
      </c>
      <c r="B5" s="6" t="s">
        <v>4</v>
      </c>
      <c r="C5" s="7" t="s">
        <v>5</v>
      </c>
      <c r="D5" s="8" t="s">
        <v>18</v>
      </c>
      <c r="E5" s="8" t="s">
        <v>52</v>
      </c>
      <c r="F5" s="8" t="s">
        <v>6</v>
      </c>
      <c r="G5" s="8" t="s">
        <v>7</v>
      </c>
      <c r="H5" s="8" t="s">
        <v>53</v>
      </c>
      <c r="I5" s="8" t="s">
        <v>8</v>
      </c>
      <c r="J5" s="9" t="s">
        <v>9</v>
      </c>
      <c r="K5" s="10" t="s">
        <v>10</v>
      </c>
      <c r="L5" s="11" t="s">
        <v>11</v>
      </c>
      <c r="M5" s="8" t="s">
        <v>12</v>
      </c>
      <c r="N5" s="8" t="s">
        <v>13</v>
      </c>
    </row>
    <row r="6" spans="1:14" ht="15.75" x14ac:dyDescent="0.25">
      <c r="A6" s="12">
        <v>1</v>
      </c>
      <c r="B6" s="18">
        <v>23750089</v>
      </c>
      <c r="C6" s="18" t="s">
        <v>20</v>
      </c>
      <c r="D6" s="13"/>
      <c r="E6" s="14">
        <v>5</v>
      </c>
      <c r="F6" s="14">
        <v>5</v>
      </c>
      <c r="G6" s="14">
        <v>5</v>
      </c>
      <c r="H6" s="14">
        <v>5</v>
      </c>
      <c r="I6" s="16">
        <v>26</v>
      </c>
      <c r="J6" s="15">
        <f>I6/5</f>
        <v>5.2</v>
      </c>
      <c r="K6" s="23">
        <v>53</v>
      </c>
      <c r="L6" s="17">
        <f>K6/5</f>
        <v>10.6</v>
      </c>
      <c r="M6" s="14"/>
      <c r="N6" s="17">
        <f>E6+F6+G6+H6+J6+L6+M6</f>
        <v>35.799999999999997</v>
      </c>
    </row>
    <row r="7" spans="1:14" ht="15.75" x14ac:dyDescent="0.25">
      <c r="A7" s="12">
        <v>2</v>
      </c>
      <c r="B7" s="18">
        <v>23750090</v>
      </c>
      <c r="C7" s="18" t="s">
        <v>21</v>
      </c>
      <c r="D7" s="13"/>
      <c r="E7" s="14">
        <v>5</v>
      </c>
      <c r="F7" s="14">
        <v>5</v>
      </c>
      <c r="G7" s="14">
        <v>5</v>
      </c>
      <c r="H7" s="14">
        <v>5</v>
      </c>
      <c r="I7" s="16">
        <v>29</v>
      </c>
      <c r="J7" s="15">
        <f t="shared" ref="J7:J31" si="0">I7/5</f>
        <v>5.8</v>
      </c>
      <c r="K7" s="23">
        <v>50</v>
      </c>
      <c r="L7" s="17">
        <f t="shared" ref="L7:L31" si="1">K7/5</f>
        <v>10</v>
      </c>
      <c r="M7" s="14"/>
      <c r="N7" s="17">
        <f t="shared" ref="N7:N31" si="2">E7+F7+G7+H7+J7+L7+M7</f>
        <v>35.799999999999997</v>
      </c>
    </row>
    <row r="8" spans="1:14" ht="15.75" x14ac:dyDescent="0.25">
      <c r="A8" s="12">
        <v>3</v>
      </c>
      <c r="B8" s="18">
        <v>23750091</v>
      </c>
      <c r="C8" s="18" t="s">
        <v>22</v>
      </c>
      <c r="D8" s="13"/>
      <c r="E8" s="14">
        <v>5</v>
      </c>
      <c r="F8" s="14">
        <v>5</v>
      </c>
      <c r="G8" s="14">
        <v>5</v>
      </c>
      <c r="H8" s="14">
        <v>5</v>
      </c>
      <c r="I8" s="16">
        <v>38</v>
      </c>
      <c r="J8" s="15">
        <f t="shared" si="0"/>
        <v>7.6</v>
      </c>
      <c r="K8" s="23">
        <v>65</v>
      </c>
      <c r="L8" s="17">
        <f t="shared" si="1"/>
        <v>13</v>
      </c>
      <c r="M8" s="14"/>
      <c r="N8" s="17">
        <f t="shared" si="2"/>
        <v>40.6</v>
      </c>
    </row>
    <row r="9" spans="1:14" ht="15.75" x14ac:dyDescent="0.25">
      <c r="A9" s="12">
        <v>4</v>
      </c>
      <c r="B9" s="18">
        <v>23750092</v>
      </c>
      <c r="C9" s="18" t="s">
        <v>23</v>
      </c>
      <c r="D9" s="13"/>
      <c r="E9" s="14">
        <v>5</v>
      </c>
      <c r="F9" s="14">
        <v>5</v>
      </c>
      <c r="G9" s="14">
        <v>5</v>
      </c>
      <c r="H9" s="14">
        <v>5</v>
      </c>
      <c r="I9" s="16">
        <v>32</v>
      </c>
      <c r="J9" s="15">
        <f t="shared" si="0"/>
        <v>6.4</v>
      </c>
      <c r="K9" s="23">
        <v>55</v>
      </c>
      <c r="L9" s="17">
        <f t="shared" si="1"/>
        <v>11</v>
      </c>
      <c r="M9" s="14"/>
      <c r="N9" s="17">
        <f t="shared" si="2"/>
        <v>37.4</v>
      </c>
    </row>
    <row r="10" spans="1:14" ht="15.75" x14ac:dyDescent="0.25">
      <c r="A10" s="12">
        <v>5</v>
      </c>
      <c r="B10" s="18">
        <v>23750093</v>
      </c>
      <c r="C10" s="18" t="s">
        <v>24</v>
      </c>
      <c r="D10" s="13"/>
      <c r="E10" s="14">
        <v>5</v>
      </c>
      <c r="F10" s="14">
        <v>5</v>
      </c>
      <c r="G10" s="14">
        <v>5</v>
      </c>
      <c r="H10" s="14">
        <v>5</v>
      </c>
      <c r="I10" s="16">
        <v>19</v>
      </c>
      <c r="J10" s="15">
        <f t="shared" si="0"/>
        <v>3.8</v>
      </c>
      <c r="K10" s="23">
        <v>62</v>
      </c>
      <c r="L10" s="17">
        <f t="shared" si="1"/>
        <v>12.4</v>
      </c>
      <c r="M10" s="14"/>
      <c r="N10" s="17">
        <f t="shared" si="2"/>
        <v>36.200000000000003</v>
      </c>
    </row>
    <row r="11" spans="1:14" ht="15.75" x14ac:dyDescent="0.25">
      <c r="A11" s="12">
        <v>6</v>
      </c>
      <c r="B11" s="18">
        <v>23750094</v>
      </c>
      <c r="C11" s="18" t="s">
        <v>25</v>
      </c>
      <c r="D11" s="13"/>
      <c r="E11" s="14">
        <v>5</v>
      </c>
      <c r="F11" s="14">
        <v>5</v>
      </c>
      <c r="G11" s="14">
        <v>5</v>
      </c>
      <c r="H11" s="14">
        <v>5</v>
      </c>
      <c r="I11" s="16">
        <v>10</v>
      </c>
      <c r="J11" s="15">
        <f t="shared" si="0"/>
        <v>2</v>
      </c>
      <c r="K11" s="23">
        <v>55</v>
      </c>
      <c r="L11" s="17">
        <f t="shared" si="1"/>
        <v>11</v>
      </c>
      <c r="M11" s="14"/>
      <c r="N11" s="17">
        <f t="shared" si="2"/>
        <v>33</v>
      </c>
    </row>
    <row r="12" spans="1:14" ht="15.75" x14ac:dyDescent="0.25">
      <c r="A12" s="12">
        <v>7</v>
      </c>
      <c r="B12" s="18">
        <v>23750095</v>
      </c>
      <c r="C12" s="18" t="s">
        <v>26</v>
      </c>
      <c r="D12" s="13"/>
      <c r="E12" s="14">
        <v>5</v>
      </c>
      <c r="F12" s="14">
        <v>5</v>
      </c>
      <c r="G12" s="14">
        <v>5</v>
      </c>
      <c r="H12" s="14">
        <v>5</v>
      </c>
      <c r="I12" s="16">
        <v>20</v>
      </c>
      <c r="J12" s="15">
        <f t="shared" si="0"/>
        <v>4</v>
      </c>
      <c r="K12" s="23">
        <v>54</v>
      </c>
      <c r="L12" s="17">
        <f t="shared" si="1"/>
        <v>10.8</v>
      </c>
      <c r="M12" s="14"/>
      <c r="N12" s="17">
        <f t="shared" si="2"/>
        <v>34.799999999999997</v>
      </c>
    </row>
    <row r="13" spans="1:14" ht="15.75" x14ac:dyDescent="0.25">
      <c r="A13" s="12">
        <v>8</v>
      </c>
      <c r="B13" s="18">
        <v>23750096</v>
      </c>
      <c r="C13" s="18" t="s">
        <v>27</v>
      </c>
      <c r="D13" s="13"/>
      <c r="E13" s="14">
        <v>5</v>
      </c>
      <c r="F13" s="14">
        <v>5</v>
      </c>
      <c r="G13" s="14">
        <v>5</v>
      </c>
      <c r="H13" s="14">
        <v>5</v>
      </c>
      <c r="I13" s="16">
        <v>15</v>
      </c>
      <c r="J13" s="15">
        <f t="shared" si="0"/>
        <v>3</v>
      </c>
      <c r="K13" s="23">
        <v>29</v>
      </c>
      <c r="L13" s="17">
        <f t="shared" si="1"/>
        <v>5.8</v>
      </c>
      <c r="M13" s="14"/>
      <c r="N13" s="17">
        <f t="shared" si="2"/>
        <v>28.8</v>
      </c>
    </row>
    <row r="14" spans="1:14" ht="15.75" x14ac:dyDescent="0.25">
      <c r="A14" s="12">
        <v>9</v>
      </c>
      <c r="B14" s="18">
        <v>23750097</v>
      </c>
      <c r="C14" s="18" t="s">
        <v>28</v>
      </c>
      <c r="D14" s="13"/>
      <c r="E14" s="14">
        <v>5</v>
      </c>
      <c r="F14" s="14">
        <v>5</v>
      </c>
      <c r="G14" s="14">
        <v>5</v>
      </c>
      <c r="H14" s="14">
        <v>5</v>
      </c>
      <c r="I14" s="16">
        <v>23</v>
      </c>
      <c r="J14" s="15">
        <f t="shared" si="0"/>
        <v>4.5999999999999996</v>
      </c>
      <c r="K14" s="23">
        <v>41</v>
      </c>
      <c r="L14" s="17">
        <f t="shared" si="1"/>
        <v>8.1999999999999993</v>
      </c>
      <c r="M14" s="14"/>
      <c r="N14" s="17">
        <f t="shared" si="2"/>
        <v>32.799999999999997</v>
      </c>
    </row>
    <row r="15" spans="1:14" ht="15.75" x14ac:dyDescent="0.25">
      <c r="A15" s="12">
        <v>10</v>
      </c>
      <c r="B15" s="18">
        <v>23750098</v>
      </c>
      <c r="C15" s="18" t="s">
        <v>29</v>
      </c>
      <c r="D15" s="13"/>
      <c r="E15" s="14">
        <v>5</v>
      </c>
      <c r="F15" s="14">
        <v>5</v>
      </c>
      <c r="G15" s="14">
        <v>5</v>
      </c>
      <c r="H15" s="14">
        <v>5</v>
      </c>
      <c r="I15" s="16">
        <v>15</v>
      </c>
      <c r="J15" s="15">
        <f t="shared" si="0"/>
        <v>3</v>
      </c>
      <c r="K15" s="23">
        <v>53</v>
      </c>
      <c r="L15" s="17">
        <f t="shared" si="1"/>
        <v>10.6</v>
      </c>
      <c r="M15" s="14"/>
      <c r="N15" s="17">
        <f t="shared" si="2"/>
        <v>33.6</v>
      </c>
    </row>
    <row r="16" spans="1:14" ht="15.75" x14ac:dyDescent="0.25">
      <c r="A16" s="12">
        <v>11</v>
      </c>
      <c r="B16" s="18">
        <v>23750099</v>
      </c>
      <c r="C16" s="18" t="s">
        <v>30</v>
      </c>
      <c r="D16" s="13"/>
      <c r="E16" s="14">
        <v>5</v>
      </c>
      <c r="F16" s="14">
        <v>5</v>
      </c>
      <c r="G16" s="14">
        <v>5</v>
      </c>
      <c r="H16" s="14">
        <v>5</v>
      </c>
      <c r="I16" s="16">
        <v>15</v>
      </c>
      <c r="J16" s="15">
        <f t="shared" si="0"/>
        <v>3</v>
      </c>
      <c r="K16" s="23">
        <v>22</v>
      </c>
      <c r="L16" s="17">
        <f t="shared" si="1"/>
        <v>4.4000000000000004</v>
      </c>
      <c r="M16" s="14"/>
      <c r="N16" s="17">
        <f t="shared" si="2"/>
        <v>27.4</v>
      </c>
    </row>
    <row r="17" spans="1:14" ht="15.75" x14ac:dyDescent="0.25">
      <c r="A17" s="12">
        <v>12</v>
      </c>
      <c r="B17" s="18">
        <v>23750100</v>
      </c>
      <c r="C17" s="18" t="s">
        <v>31</v>
      </c>
      <c r="D17" s="13"/>
      <c r="E17" s="14">
        <v>5</v>
      </c>
      <c r="F17" s="14">
        <v>5</v>
      </c>
      <c r="G17" s="14">
        <v>5</v>
      </c>
      <c r="H17" s="14">
        <v>5</v>
      </c>
      <c r="I17" s="16">
        <v>31</v>
      </c>
      <c r="J17" s="15">
        <f t="shared" si="0"/>
        <v>6.2</v>
      </c>
      <c r="K17" s="23">
        <v>71</v>
      </c>
      <c r="L17" s="17">
        <f t="shared" si="1"/>
        <v>14.2</v>
      </c>
      <c r="M17" s="14"/>
      <c r="N17" s="17">
        <f t="shared" si="2"/>
        <v>40.4</v>
      </c>
    </row>
    <row r="18" spans="1:14" ht="15.75" x14ac:dyDescent="0.25">
      <c r="A18" s="12">
        <v>13</v>
      </c>
      <c r="B18" s="18">
        <v>23750101</v>
      </c>
      <c r="C18" s="18" t="s">
        <v>32</v>
      </c>
      <c r="D18" s="13"/>
      <c r="E18" s="14">
        <v>5</v>
      </c>
      <c r="F18" s="14">
        <v>5</v>
      </c>
      <c r="G18" s="14">
        <v>5</v>
      </c>
      <c r="H18" s="14">
        <v>5</v>
      </c>
      <c r="I18" s="16">
        <v>34</v>
      </c>
      <c r="J18" s="15">
        <f t="shared" si="0"/>
        <v>6.8</v>
      </c>
      <c r="K18" s="23">
        <v>70</v>
      </c>
      <c r="L18" s="17">
        <f t="shared" si="1"/>
        <v>14</v>
      </c>
      <c r="M18" s="14"/>
      <c r="N18" s="17">
        <f t="shared" si="2"/>
        <v>40.799999999999997</v>
      </c>
    </row>
    <row r="19" spans="1:14" ht="15.75" x14ac:dyDescent="0.25">
      <c r="A19" s="12">
        <v>14</v>
      </c>
      <c r="B19" s="18">
        <v>23750102</v>
      </c>
      <c r="C19" s="18" t="s">
        <v>33</v>
      </c>
      <c r="D19" s="13"/>
      <c r="E19" s="14">
        <v>5</v>
      </c>
      <c r="F19" s="14">
        <v>5</v>
      </c>
      <c r="G19" s="14">
        <v>5</v>
      </c>
      <c r="H19" s="14">
        <v>5</v>
      </c>
      <c r="I19" s="16">
        <v>24</v>
      </c>
      <c r="J19" s="15">
        <f t="shared" si="0"/>
        <v>4.8</v>
      </c>
      <c r="K19" s="23">
        <v>49</v>
      </c>
      <c r="L19" s="17">
        <f t="shared" si="1"/>
        <v>9.8000000000000007</v>
      </c>
      <c r="M19" s="14"/>
      <c r="N19" s="17">
        <f t="shared" si="2"/>
        <v>34.6</v>
      </c>
    </row>
    <row r="20" spans="1:14" ht="15.75" x14ac:dyDescent="0.25">
      <c r="A20" s="12">
        <v>15</v>
      </c>
      <c r="B20" s="18">
        <v>23750103</v>
      </c>
      <c r="C20" s="18" t="s">
        <v>34</v>
      </c>
      <c r="D20" s="13"/>
      <c r="E20" s="14">
        <v>5</v>
      </c>
      <c r="F20" s="14">
        <v>5</v>
      </c>
      <c r="G20" s="14">
        <v>5</v>
      </c>
      <c r="H20" s="14">
        <v>5</v>
      </c>
      <c r="I20" s="16">
        <v>37</v>
      </c>
      <c r="J20" s="15">
        <f t="shared" si="0"/>
        <v>7.4</v>
      </c>
      <c r="K20" s="23">
        <v>48</v>
      </c>
      <c r="L20" s="17">
        <f t="shared" si="1"/>
        <v>9.6</v>
      </c>
      <c r="M20" s="14"/>
      <c r="N20" s="17">
        <f t="shared" si="2"/>
        <v>37</v>
      </c>
    </row>
    <row r="21" spans="1:14" ht="15.75" x14ac:dyDescent="0.25">
      <c r="A21" s="12">
        <v>16</v>
      </c>
      <c r="B21" s="18">
        <v>23750104</v>
      </c>
      <c r="C21" s="18" t="s">
        <v>35</v>
      </c>
      <c r="D21" s="13"/>
      <c r="E21" s="14">
        <v>5</v>
      </c>
      <c r="F21" s="14">
        <v>5</v>
      </c>
      <c r="G21" s="14">
        <v>5</v>
      </c>
      <c r="H21" s="14">
        <v>5</v>
      </c>
      <c r="I21" s="16">
        <v>44</v>
      </c>
      <c r="J21" s="15">
        <f t="shared" si="0"/>
        <v>8.8000000000000007</v>
      </c>
      <c r="K21" s="23">
        <v>72</v>
      </c>
      <c r="L21" s="17">
        <f t="shared" si="1"/>
        <v>14.4</v>
      </c>
      <c r="M21" s="14"/>
      <c r="N21" s="17">
        <f t="shared" si="2"/>
        <v>43.2</v>
      </c>
    </row>
    <row r="22" spans="1:14" ht="15.75" x14ac:dyDescent="0.25">
      <c r="A22" s="12">
        <v>17</v>
      </c>
      <c r="B22" s="18">
        <v>23750105</v>
      </c>
      <c r="C22" s="18" t="s">
        <v>36</v>
      </c>
      <c r="D22" s="13"/>
      <c r="E22" s="14">
        <v>5</v>
      </c>
      <c r="F22" s="14">
        <v>5</v>
      </c>
      <c r="G22" s="14">
        <v>5</v>
      </c>
      <c r="H22" s="14">
        <v>5</v>
      </c>
      <c r="I22" s="16">
        <v>38</v>
      </c>
      <c r="J22" s="15">
        <f t="shared" si="0"/>
        <v>7.6</v>
      </c>
      <c r="K22" s="23">
        <v>73</v>
      </c>
      <c r="L22" s="17">
        <f t="shared" si="1"/>
        <v>14.6</v>
      </c>
      <c r="M22" s="14"/>
      <c r="N22" s="17">
        <f t="shared" si="2"/>
        <v>42.2</v>
      </c>
    </row>
    <row r="23" spans="1:14" ht="15.75" x14ac:dyDescent="0.25">
      <c r="A23" s="12">
        <v>18</v>
      </c>
      <c r="B23" s="18">
        <v>23750106</v>
      </c>
      <c r="C23" s="18" t="s">
        <v>37</v>
      </c>
      <c r="D23" s="13"/>
      <c r="E23" s="14">
        <v>5</v>
      </c>
      <c r="F23" s="14">
        <v>5</v>
      </c>
      <c r="G23" s="14">
        <v>5</v>
      </c>
      <c r="H23" s="14">
        <v>5</v>
      </c>
      <c r="I23" s="16">
        <v>41</v>
      </c>
      <c r="J23" s="15">
        <f t="shared" si="0"/>
        <v>8.1999999999999993</v>
      </c>
      <c r="K23" s="23">
        <v>84</v>
      </c>
      <c r="L23" s="17">
        <f t="shared" si="1"/>
        <v>16.8</v>
      </c>
      <c r="M23" s="14"/>
      <c r="N23" s="17">
        <f t="shared" si="2"/>
        <v>45</v>
      </c>
    </row>
    <row r="24" spans="1:14" ht="15.75" x14ac:dyDescent="0.25">
      <c r="A24" s="12">
        <v>19</v>
      </c>
      <c r="B24" s="18">
        <v>23750107</v>
      </c>
      <c r="C24" s="18" t="s">
        <v>38</v>
      </c>
      <c r="D24" s="13"/>
      <c r="E24" s="14">
        <v>5</v>
      </c>
      <c r="F24" s="14">
        <v>5</v>
      </c>
      <c r="G24" s="14">
        <v>5</v>
      </c>
      <c r="H24" s="14">
        <v>5</v>
      </c>
      <c r="I24" s="16">
        <v>29</v>
      </c>
      <c r="J24" s="15">
        <f t="shared" si="0"/>
        <v>5.8</v>
      </c>
      <c r="K24" s="23">
        <v>70</v>
      </c>
      <c r="L24" s="17">
        <f t="shared" si="1"/>
        <v>14</v>
      </c>
      <c r="M24" s="14"/>
      <c r="N24" s="17">
        <f t="shared" si="2"/>
        <v>39.799999999999997</v>
      </c>
    </row>
    <row r="25" spans="1:14" ht="15.75" x14ac:dyDescent="0.25">
      <c r="A25" s="12">
        <v>20</v>
      </c>
      <c r="B25" s="18">
        <v>23750108</v>
      </c>
      <c r="C25" s="18" t="s">
        <v>39</v>
      </c>
      <c r="D25" s="18"/>
      <c r="E25" s="14">
        <v>5</v>
      </c>
      <c r="F25" s="14">
        <v>5</v>
      </c>
      <c r="G25" s="14">
        <v>5</v>
      </c>
      <c r="H25" s="14">
        <v>5</v>
      </c>
      <c r="I25" s="16">
        <v>20</v>
      </c>
      <c r="J25" s="15">
        <f t="shared" si="0"/>
        <v>4</v>
      </c>
      <c r="K25" s="14">
        <v>32</v>
      </c>
      <c r="L25" s="17">
        <f t="shared" si="1"/>
        <v>6.4</v>
      </c>
      <c r="M25" s="14"/>
      <c r="N25" s="17">
        <f t="shared" si="2"/>
        <v>30.4</v>
      </c>
    </row>
    <row r="26" spans="1:14" ht="15.75" x14ac:dyDescent="0.25">
      <c r="A26" s="12">
        <v>21</v>
      </c>
      <c r="B26" s="18">
        <v>23750109</v>
      </c>
      <c r="C26" s="18" t="s">
        <v>40</v>
      </c>
      <c r="D26" s="18"/>
      <c r="E26" s="14">
        <v>5</v>
      </c>
      <c r="F26" s="14">
        <v>5</v>
      </c>
      <c r="G26" s="14">
        <v>5</v>
      </c>
      <c r="H26" s="14">
        <v>5</v>
      </c>
      <c r="I26" s="16">
        <v>26</v>
      </c>
      <c r="J26" s="15">
        <f t="shared" si="0"/>
        <v>5.2</v>
      </c>
      <c r="K26" s="14">
        <v>38</v>
      </c>
      <c r="L26" s="17">
        <f t="shared" si="1"/>
        <v>7.6</v>
      </c>
      <c r="M26" s="14"/>
      <c r="N26" s="17">
        <f t="shared" si="2"/>
        <v>32.799999999999997</v>
      </c>
    </row>
    <row r="27" spans="1:14" ht="15.75" x14ac:dyDescent="0.25">
      <c r="A27" s="12">
        <v>22</v>
      </c>
      <c r="B27" s="21">
        <v>23750110</v>
      </c>
      <c r="C27" s="21" t="s">
        <v>41</v>
      </c>
      <c r="D27" s="18"/>
      <c r="E27" s="14">
        <v>5</v>
      </c>
      <c r="F27" s="14">
        <v>5</v>
      </c>
      <c r="G27" s="14">
        <v>5</v>
      </c>
      <c r="H27" s="14">
        <v>5</v>
      </c>
      <c r="I27" s="16">
        <v>11</v>
      </c>
      <c r="J27" s="15">
        <f t="shared" si="0"/>
        <v>2.2000000000000002</v>
      </c>
      <c r="K27" s="14">
        <v>23</v>
      </c>
      <c r="L27" s="17">
        <f t="shared" si="1"/>
        <v>4.5999999999999996</v>
      </c>
      <c r="M27" s="14"/>
      <c r="N27" s="17">
        <f t="shared" si="2"/>
        <v>26.799999999999997</v>
      </c>
    </row>
    <row r="28" spans="1:14" ht="15.75" x14ac:dyDescent="0.25">
      <c r="A28" s="12">
        <v>23</v>
      </c>
      <c r="B28" s="18">
        <v>23750111</v>
      </c>
      <c r="C28" s="18" t="s">
        <v>42</v>
      </c>
      <c r="D28" s="18"/>
      <c r="E28" s="14">
        <v>5</v>
      </c>
      <c r="F28" s="14">
        <v>5</v>
      </c>
      <c r="G28" s="14">
        <v>5</v>
      </c>
      <c r="H28" s="14">
        <v>5</v>
      </c>
      <c r="I28" s="16">
        <v>24</v>
      </c>
      <c r="J28" s="15">
        <f t="shared" si="0"/>
        <v>4.8</v>
      </c>
      <c r="K28" s="14">
        <v>62</v>
      </c>
      <c r="L28" s="17">
        <f t="shared" si="1"/>
        <v>12.4</v>
      </c>
      <c r="M28" s="14"/>
      <c r="N28" s="17">
        <f t="shared" si="2"/>
        <v>37.200000000000003</v>
      </c>
    </row>
    <row r="29" spans="1:14" ht="15.75" x14ac:dyDescent="0.25">
      <c r="A29" s="12">
        <v>24</v>
      </c>
      <c r="B29" s="22">
        <v>23750112</v>
      </c>
      <c r="C29" s="22" t="s">
        <v>43</v>
      </c>
      <c r="D29" s="18"/>
      <c r="E29" s="14">
        <v>5</v>
      </c>
      <c r="F29" s="14">
        <v>5</v>
      </c>
      <c r="G29" s="14">
        <v>5</v>
      </c>
      <c r="H29" s="14">
        <v>5</v>
      </c>
      <c r="I29" s="16">
        <v>21</v>
      </c>
      <c r="J29" s="15">
        <f t="shared" si="0"/>
        <v>4.2</v>
      </c>
      <c r="K29" s="14">
        <v>49</v>
      </c>
      <c r="L29" s="17">
        <f t="shared" si="1"/>
        <v>9.8000000000000007</v>
      </c>
      <c r="M29" s="14"/>
      <c r="N29" s="17">
        <f t="shared" si="2"/>
        <v>34</v>
      </c>
    </row>
    <row r="30" spans="1:14" ht="15.75" x14ac:dyDescent="0.25">
      <c r="A30" s="12">
        <v>25</v>
      </c>
      <c r="B30" s="18">
        <v>23750113</v>
      </c>
      <c r="C30" s="18" t="s">
        <v>44</v>
      </c>
      <c r="D30" s="19"/>
      <c r="E30" s="14">
        <v>5</v>
      </c>
      <c r="F30" s="14">
        <v>5</v>
      </c>
      <c r="G30" s="14">
        <v>5</v>
      </c>
      <c r="H30" s="14">
        <v>5</v>
      </c>
      <c r="I30" s="16">
        <v>15</v>
      </c>
      <c r="J30" s="15">
        <f t="shared" si="0"/>
        <v>3</v>
      </c>
      <c r="K30" s="14">
        <v>18</v>
      </c>
      <c r="L30" s="17">
        <f t="shared" si="1"/>
        <v>3.6</v>
      </c>
      <c r="M30" s="14"/>
      <c r="N30" s="17">
        <f t="shared" si="2"/>
        <v>26.6</v>
      </c>
    </row>
    <row r="31" spans="1:14" ht="21.75" customHeight="1" x14ac:dyDescent="0.25">
      <c r="A31" s="14">
        <v>26</v>
      </c>
      <c r="B31" s="18">
        <v>23750114</v>
      </c>
      <c r="C31" s="18" t="s">
        <v>45</v>
      </c>
      <c r="D31" s="19"/>
      <c r="E31" s="14">
        <v>5</v>
      </c>
      <c r="F31" s="14">
        <v>5</v>
      </c>
      <c r="G31" s="14">
        <v>5</v>
      </c>
      <c r="H31" s="14">
        <v>5</v>
      </c>
      <c r="I31" s="16">
        <v>27</v>
      </c>
      <c r="J31" s="15">
        <f t="shared" si="0"/>
        <v>5.4</v>
      </c>
      <c r="K31" s="14">
        <v>53</v>
      </c>
      <c r="L31" s="17">
        <f t="shared" si="1"/>
        <v>10.6</v>
      </c>
      <c r="M31" s="14"/>
      <c r="N31" s="17">
        <f t="shared" si="2"/>
        <v>36</v>
      </c>
    </row>
    <row r="35" spans="12:13" x14ac:dyDescent="0.25">
      <c r="L35" s="20"/>
      <c r="M35" s="20"/>
    </row>
    <row r="36" spans="12:13" x14ac:dyDescent="0.25">
      <c r="L36" s="28"/>
      <c r="M36" s="28"/>
    </row>
    <row r="37" spans="12:13" x14ac:dyDescent="0.25">
      <c r="L37" s="28" t="s">
        <v>14</v>
      </c>
      <c r="M37" s="28"/>
    </row>
    <row r="38" spans="12:13" x14ac:dyDescent="0.25">
      <c r="L38" s="20"/>
      <c r="M38" s="20"/>
    </row>
  </sheetData>
  <mergeCells count="7">
    <mergeCell ref="L37:M37"/>
    <mergeCell ref="A1:N1"/>
    <mergeCell ref="A2:N2"/>
    <mergeCell ref="A3:N3"/>
    <mergeCell ref="A4:B4"/>
    <mergeCell ref="C4:E4"/>
    <mergeCell ref="L36:M36"/>
  </mergeCells>
  <pageMargins left="0.7" right="0.7" top="0.75" bottom="0.75" header="0.3" footer="0.3"/>
  <pageSetup paperSize="9"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opLeftCell="A2" workbookViewId="0">
      <selection activeCell="P21" sqref="P21"/>
    </sheetView>
  </sheetViews>
  <sheetFormatPr defaultRowHeight="15" x14ac:dyDescent="0.25"/>
  <cols>
    <col min="3" max="3" width="30.85546875" customWidth="1"/>
    <col min="9" max="9" width="13.28515625" customWidth="1"/>
    <col min="10" max="10" width="11.28515625" customWidth="1"/>
    <col min="11" max="11" width="13.5703125" customWidth="1"/>
    <col min="12" max="12" width="13.42578125" customWidth="1"/>
  </cols>
  <sheetData>
    <row r="1" spans="1:14" ht="16.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5" x14ac:dyDescent="0.3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16.5" thickBot="1" x14ac:dyDescent="0.3">
      <c r="A4" s="32" t="s">
        <v>15</v>
      </c>
      <c r="B4" s="33"/>
      <c r="C4" s="34" t="s">
        <v>17</v>
      </c>
      <c r="D4" s="35"/>
      <c r="E4" s="35"/>
      <c r="F4" s="1" t="s">
        <v>46</v>
      </c>
      <c r="G4" s="2"/>
      <c r="H4" s="3"/>
      <c r="I4" s="2"/>
      <c r="J4" s="2"/>
      <c r="K4" s="2"/>
      <c r="L4" s="4" t="s">
        <v>2</v>
      </c>
      <c r="M4" s="2"/>
      <c r="N4" s="2"/>
    </row>
    <row r="5" spans="1:14" ht="33.75" x14ac:dyDescent="0.25">
      <c r="A5" s="5" t="s">
        <v>3</v>
      </c>
      <c r="B5" s="6" t="s">
        <v>4</v>
      </c>
      <c r="C5" s="7" t="s">
        <v>5</v>
      </c>
      <c r="D5" s="8" t="s">
        <v>18</v>
      </c>
      <c r="E5" s="8" t="s">
        <v>52</v>
      </c>
      <c r="F5" s="8" t="s">
        <v>6</v>
      </c>
      <c r="G5" s="8" t="s">
        <v>7</v>
      </c>
      <c r="H5" s="8" t="s">
        <v>53</v>
      </c>
      <c r="I5" s="8" t="s">
        <v>8</v>
      </c>
      <c r="J5" s="9" t="s">
        <v>9</v>
      </c>
      <c r="K5" s="10" t="s">
        <v>10</v>
      </c>
      <c r="L5" s="11" t="s">
        <v>11</v>
      </c>
      <c r="M5" s="8" t="s">
        <v>12</v>
      </c>
      <c r="N5" s="8" t="s">
        <v>13</v>
      </c>
    </row>
    <row r="6" spans="1:14" ht="15.75" x14ac:dyDescent="0.25">
      <c r="A6" s="12">
        <v>1</v>
      </c>
      <c r="B6" s="18">
        <v>23750089</v>
      </c>
      <c r="C6" s="18" t="s">
        <v>20</v>
      </c>
      <c r="D6" s="13"/>
      <c r="E6" s="14">
        <v>5</v>
      </c>
      <c r="F6" s="14">
        <v>5</v>
      </c>
      <c r="G6" s="14">
        <v>5</v>
      </c>
      <c r="H6" s="14">
        <v>5</v>
      </c>
      <c r="I6" s="16">
        <v>31</v>
      </c>
      <c r="J6" s="15">
        <f>I6/5</f>
        <v>6.2</v>
      </c>
      <c r="K6" s="23">
        <v>78</v>
      </c>
      <c r="L6" s="17">
        <f>K6/5</f>
        <v>15.6</v>
      </c>
      <c r="M6" s="14"/>
      <c r="N6" s="17">
        <f>E6+F6+G6+H6+J6+L6+M6</f>
        <v>41.8</v>
      </c>
    </row>
    <row r="7" spans="1:14" ht="15.75" x14ac:dyDescent="0.25">
      <c r="A7" s="12">
        <v>2</v>
      </c>
      <c r="B7" s="18">
        <v>23750090</v>
      </c>
      <c r="C7" s="18" t="s">
        <v>21</v>
      </c>
      <c r="D7" s="13"/>
      <c r="E7" s="14">
        <v>5</v>
      </c>
      <c r="F7" s="14">
        <v>5</v>
      </c>
      <c r="G7" s="14">
        <v>5</v>
      </c>
      <c r="H7" s="14">
        <v>5</v>
      </c>
      <c r="I7" s="16">
        <v>35</v>
      </c>
      <c r="J7" s="15">
        <f t="shared" ref="J7:J31" si="0">I7/5</f>
        <v>7</v>
      </c>
      <c r="K7" s="23">
        <v>81</v>
      </c>
      <c r="L7" s="17">
        <f t="shared" ref="L7:L31" si="1">K7/5</f>
        <v>16.2</v>
      </c>
      <c r="M7" s="14"/>
      <c r="N7" s="17">
        <f t="shared" ref="N7:N31" si="2">E7+F7+G7+H7+J7+L7+M7</f>
        <v>43.2</v>
      </c>
    </row>
    <row r="8" spans="1:14" ht="15.75" x14ac:dyDescent="0.25">
      <c r="A8" s="12">
        <v>3</v>
      </c>
      <c r="B8" s="18">
        <v>23750091</v>
      </c>
      <c r="C8" s="18" t="s">
        <v>22</v>
      </c>
      <c r="D8" s="13"/>
      <c r="E8" s="14">
        <v>5</v>
      </c>
      <c r="F8" s="14">
        <v>5</v>
      </c>
      <c r="G8" s="14">
        <v>5</v>
      </c>
      <c r="H8" s="14">
        <v>5</v>
      </c>
      <c r="I8" s="16">
        <v>39</v>
      </c>
      <c r="J8" s="15">
        <f t="shared" si="0"/>
        <v>7.8</v>
      </c>
      <c r="K8" s="23">
        <v>82</v>
      </c>
      <c r="L8" s="17">
        <f t="shared" si="1"/>
        <v>16.399999999999999</v>
      </c>
      <c r="M8" s="14"/>
      <c r="N8" s="17">
        <f t="shared" si="2"/>
        <v>44.2</v>
      </c>
    </row>
    <row r="9" spans="1:14" ht="15.75" x14ac:dyDescent="0.25">
      <c r="A9" s="12">
        <v>4</v>
      </c>
      <c r="B9" s="18">
        <v>23750092</v>
      </c>
      <c r="C9" s="18" t="s">
        <v>23</v>
      </c>
      <c r="D9" s="13"/>
      <c r="E9" s="14">
        <v>5</v>
      </c>
      <c r="F9" s="14">
        <v>5</v>
      </c>
      <c r="G9" s="14">
        <v>5</v>
      </c>
      <c r="H9" s="14">
        <v>5</v>
      </c>
      <c r="I9" s="16">
        <v>35</v>
      </c>
      <c r="J9" s="15">
        <f t="shared" si="0"/>
        <v>7</v>
      </c>
      <c r="K9" s="23">
        <v>81</v>
      </c>
      <c r="L9" s="17">
        <f t="shared" si="1"/>
        <v>16.2</v>
      </c>
      <c r="M9" s="14"/>
      <c r="N9" s="17">
        <f t="shared" si="2"/>
        <v>43.2</v>
      </c>
    </row>
    <row r="10" spans="1:14" ht="15.75" x14ac:dyDescent="0.25">
      <c r="A10" s="12">
        <v>5</v>
      </c>
      <c r="B10" s="18">
        <v>23750093</v>
      </c>
      <c r="C10" s="18" t="s">
        <v>24</v>
      </c>
      <c r="D10" s="13"/>
      <c r="E10" s="14">
        <v>5</v>
      </c>
      <c r="F10" s="14">
        <v>5</v>
      </c>
      <c r="G10" s="14">
        <v>5</v>
      </c>
      <c r="H10" s="14">
        <v>5</v>
      </c>
      <c r="I10" s="16">
        <v>26</v>
      </c>
      <c r="J10" s="15">
        <f t="shared" si="0"/>
        <v>5.2</v>
      </c>
      <c r="K10" s="23">
        <v>78</v>
      </c>
      <c r="L10" s="17">
        <f t="shared" si="1"/>
        <v>15.6</v>
      </c>
      <c r="M10" s="14"/>
      <c r="N10" s="17">
        <f t="shared" si="2"/>
        <v>40.799999999999997</v>
      </c>
    </row>
    <row r="11" spans="1:14" ht="15.75" x14ac:dyDescent="0.25">
      <c r="A11" s="12">
        <v>6</v>
      </c>
      <c r="B11" s="18">
        <v>23750094</v>
      </c>
      <c r="C11" s="18" t="s">
        <v>25</v>
      </c>
      <c r="D11" s="13"/>
      <c r="E11" s="14">
        <v>5</v>
      </c>
      <c r="F11" s="14">
        <v>5</v>
      </c>
      <c r="G11" s="14">
        <v>5</v>
      </c>
      <c r="H11" s="14">
        <v>5</v>
      </c>
      <c r="I11" s="16">
        <v>18</v>
      </c>
      <c r="J11" s="15">
        <f t="shared" si="0"/>
        <v>3.6</v>
      </c>
      <c r="K11" s="23">
        <v>72</v>
      </c>
      <c r="L11" s="17">
        <f t="shared" si="1"/>
        <v>14.4</v>
      </c>
      <c r="M11" s="14"/>
      <c r="N11" s="17">
        <f t="shared" si="2"/>
        <v>38</v>
      </c>
    </row>
    <row r="12" spans="1:14" ht="15.75" x14ac:dyDescent="0.25">
      <c r="A12" s="12">
        <v>7</v>
      </c>
      <c r="B12" s="18">
        <v>23750095</v>
      </c>
      <c r="C12" s="18" t="s">
        <v>26</v>
      </c>
      <c r="D12" s="13"/>
      <c r="E12" s="14">
        <v>5</v>
      </c>
      <c r="F12" s="14">
        <v>5</v>
      </c>
      <c r="G12" s="14">
        <v>5</v>
      </c>
      <c r="H12" s="14">
        <v>5</v>
      </c>
      <c r="I12" s="16">
        <v>26</v>
      </c>
      <c r="J12" s="15">
        <f t="shared" si="0"/>
        <v>5.2</v>
      </c>
      <c r="K12" s="23">
        <v>74</v>
      </c>
      <c r="L12" s="17">
        <f t="shared" si="1"/>
        <v>14.8</v>
      </c>
      <c r="M12" s="14"/>
      <c r="N12" s="17">
        <f t="shared" si="2"/>
        <v>40</v>
      </c>
    </row>
    <row r="13" spans="1:14" ht="15.75" x14ac:dyDescent="0.25">
      <c r="A13" s="12">
        <v>8</v>
      </c>
      <c r="B13" s="18">
        <v>23750096</v>
      </c>
      <c r="C13" s="18" t="s">
        <v>27</v>
      </c>
      <c r="D13" s="13"/>
      <c r="E13" s="14">
        <v>5</v>
      </c>
      <c r="F13" s="14">
        <v>5</v>
      </c>
      <c r="G13" s="14">
        <v>5</v>
      </c>
      <c r="H13" s="14">
        <v>5</v>
      </c>
      <c r="I13" s="16">
        <v>32</v>
      </c>
      <c r="J13" s="15">
        <f t="shared" si="0"/>
        <v>6.4</v>
      </c>
      <c r="K13" s="23">
        <v>78</v>
      </c>
      <c r="L13" s="17">
        <f t="shared" si="1"/>
        <v>15.6</v>
      </c>
      <c r="M13" s="14"/>
      <c r="N13" s="17">
        <f t="shared" si="2"/>
        <v>42</v>
      </c>
    </row>
    <row r="14" spans="1:14" ht="15.75" x14ac:dyDescent="0.25">
      <c r="A14" s="12">
        <v>9</v>
      </c>
      <c r="B14" s="18">
        <v>23750097</v>
      </c>
      <c r="C14" s="18" t="s">
        <v>28</v>
      </c>
      <c r="D14" s="13"/>
      <c r="E14" s="14">
        <v>5</v>
      </c>
      <c r="F14" s="14">
        <v>5</v>
      </c>
      <c r="G14" s="14">
        <v>5</v>
      </c>
      <c r="H14" s="14">
        <v>5</v>
      </c>
      <c r="I14" s="16">
        <v>37</v>
      </c>
      <c r="J14" s="15">
        <f t="shared" si="0"/>
        <v>7.4</v>
      </c>
      <c r="K14" s="23">
        <v>81</v>
      </c>
      <c r="L14" s="17">
        <f t="shared" si="1"/>
        <v>16.2</v>
      </c>
      <c r="M14" s="14"/>
      <c r="N14" s="17">
        <f t="shared" si="2"/>
        <v>43.599999999999994</v>
      </c>
    </row>
    <row r="15" spans="1:14" ht="15.75" x14ac:dyDescent="0.25">
      <c r="A15" s="12">
        <v>10</v>
      </c>
      <c r="B15" s="18">
        <v>23750098</v>
      </c>
      <c r="C15" s="18" t="s">
        <v>29</v>
      </c>
      <c r="D15" s="13"/>
      <c r="E15" s="14">
        <v>5</v>
      </c>
      <c r="F15" s="14">
        <v>5</v>
      </c>
      <c r="G15" s="14">
        <v>5</v>
      </c>
      <c r="H15" s="14">
        <v>5</v>
      </c>
      <c r="I15" s="16">
        <v>28</v>
      </c>
      <c r="J15" s="15">
        <f t="shared" si="0"/>
        <v>5.6</v>
      </c>
      <c r="K15" s="23">
        <v>76</v>
      </c>
      <c r="L15" s="17">
        <f t="shared" si="1"/>
        <v>15.2</v>
      </c>
      <c r="M15" s="14"/>
      <c r="N15" s="17">
        <f t="shared" si="2"/>
        <v>40.799999999999997</v>
      </c>
    </row>
    <row r="16" spans="1:14" ht="15.75" x14ac:dyDescent="0.25">
      <c r="A16" s="12">
        <v>11</v>
      </c>
      <c r="B16" s="18">
        <v>23750099</v>
      </c>
      <c r="C16" s="18" t="s">
        <v>30</v>
      </c>
      <c r="D16" s="13"/>
      <c r="E16" s="14">
        <v>5</v>
      </c>
      <c r="F16" s="14">
        <v>5</v>
      </c>
      <c r="G16" s="14">
        <v>5</v>
      </c>
      <c r="H16" s="14">
        <v>5</v>
      </c>
      <c r="I16" s="16">
        <v>31</v>
      </c>
      <c r="J16" s="15">
        <f t="shared" si="0"/>
        <v>6.2</v>
      </c>
      <c r="K16" s="23">
        <v>78</v>
      </c>
      <c r="L16" s="17">
        <f t="shared" si="1"/>
        <v>15.6</v>
      </c>
      <c r="M16" s="14"/>
      <c r="N16" s="17">
        <f t="shared" si="2"/>
        <v>41.8</v>
      </c>
    </row>
    <row r="17" spans="1:14" ht="15.75" x14ac:dyDescent="0.25">
      <c r="A17" s="12">
        <v>12</v>
      </c>
      <c r="B17" s="18">
        <v>23750100</v>
      </c>
      <c r="C17" s="18" t="s">
        <v>31</v>
      </c>
      <c r="D17" s="13"/>
      <c r="E17" s="14">
        <v>5</v>
      </c>
      <c r="F17" s="14">
        <v>5</v>
      </c>
      <c r="G17" s="14">
        <v>5</v>
      </c>
      <c r="H17" s="14">
        <v>5</v>
      </c>
      <c r="I17" s="16">
        <v>39</v>
      </c>
      <c r="J17" s="15">
        <f t="shared" si="0"/>
        <v>7.8</v>
      </c>
      <c r="K17" s="23">
        <v>86</v>
      </c>
      <c r="L17" s="17">
        <f t="shared" si="1"/>
        <v>17.2</v>
      </c>
      <c r="M17" s="14"/>
      <c r="N17" s="17">
        <f t="shared" si="2"/>
        <v>45</v>
      </c>
    </row>
    <row r="18" spans="1:14" ht="15.75" x14ac:dyDescent="0.25">
      <c r="A18" s="12">
        <v>13</v>
      </c>
      <c r="B18" s="18">
        <v>23750101</v>
      </c>
      <c r="C18" s="18" t="s">
        <v>32</v>
      </c>
      <c r="D18" s="13"/>
      <c r="E18" s="14">
        <v>5</v>
      </c>
      <c r="F18" s="14">
        <v>5</v>
      </c>
      <c r="G18" s="14">
        <v>5</v>
      </c>
      <c r="H18" s="14">
        <v>5</v>
      </c>
      <c r="I18" s="16">
        <v>40</v>
      </c>
      <c r="J18" s="15">
        <f t="shared" si="0"/>
        <v>8</v>
      </c>
      <c r="K18" s="23">
        <v>88</v>
      </c>
      <c r="L18" s="17">
        <f t="shared" si="1"/>
        <v>17.600000000000001</v>
      </c>
      <c r="M18" s="14"/>
      <c r="N18" s="17">
        <f t="shared" si="2"/>
        <v>45.6</v>
      </c>
    </row>
    <row r="19" spans="1:14" ht="15.75" x14ac:dyDescent="0.25">
      <c r="A19" s="12">
        <v>14</v>
      </c>
      <c r="B19" s="18">
        <v>23750102</v>
      </c>
      <c r="C19" s="18" t="s">
        <v>33</v>
      </c>
      <c r="D19" s="13"/>
      <c r="E19" s="14">
        <v>5</v>
      </c>
      <c r="F19" s="14">
        <v>5</v>
      </c>
      <c r="G19" s="14">
        <v>5</v>
      </c>
      <c r="H19" s="14">
        <v>5</v>
      </c>
      <c r="I19" s="16">
        <v>33</v>
      </c>
      <c r="J19" s="15">
        <f t="shared" si="0"/>
        <v>6.6</v>
      </c>
      <c r="K19" s="23">
        <v>86</v>
      </c>
      <c r="L19" s="17">
        <f t="shared" si="1"/>
        <v>17.2</v>
      </c>
      <c r="M19" s="14"/>
      <c r="N19" s="17">
        <f t="shared" si="2"/>
        <v>43.8</v>
      </c>
    </row>
    <row r="20" spans="1:14" ht="15.75" x14ac:dyDescent="0.25">
      <c r="A20" s="12">
        <v>15</v>
      </c>
      <c r="B20" s="18">
        <v>23750103</v>
      </c>
      <c r="C20" s="18" t="s">
        <v>34</v>
      </c>
      <c r="D20" s="13"/>
      <c r="E20" s="14">
        <v>5</v>
      </c>
      <c r="F20" s="14">
        <v>5</v>
      </c>
      <c r="G20" s="14">
        <v>5</v>
      </c>
      <c r="H20" s="14">
        <v>5</v>
      </c>
      <c r="I20" s="16" t="s">
        <v>47</v>
      </c>
      <c r="J20" s="15" t="e">
        <f t="shared" si="0"/>
        <v>#VALUE!</v>
      </c>
      <c r="K20" s="23">
        <v>90</v>
      </c>
      <c r="L20" s="17">
        <f t="shared" si="1"/>
        <v>18</v>
      </c>
      <c r="M20" s="14"/>
      <c r="N20" s="17" t="e">
        <f t="shared" si="2"/>
        <v>#VALUE!</v>
      </c>
    </row>
    <row r="21" spans="1:14" ht="15.75" x14ac:dyDescent="0.25">
      <c r="A21" s="12">
        <v>16</v>
      </c>
      <c r="B21" s="18">
        <v>23750104</v>
      </c>
      <c r="C21" s="18" t="s">
        <v>35</v>
      </c>
      <c r="D21" s="13"/>
      <c r="E21" s="14">
        <v>5</v>
      </c>
      <c r="F21" s="14">
        <v>5</v>
      </c>
      <c r="G21" s="14">
        <v>5</v>
      </c>
      <c r="H21" s="14">
        <v>5</v>
      </c>
      <c r="I21" s="16">
        <v>43</v>
      </c>
      <c r="J21" s="15">
        <f t="shared" si="0"/>
        <v>8.6</v>
      </c>
      <c r="K21" s="23">
        <v>91</v>
      </c>
      <c r="L21" s="17">
        <f t="shared" si="1"/>
        <v>18.2</v>
      </c>
      <c r="M21" s="14"/>
      <c r="N21" s="17">
        <f t="shared" si="2"/>
        <v>46.8</v>
      </c>
    </row>
    <row r="22" spans="1:14" ht="15.75" x14ac:dyDescent="0.25">
      <c r="A22" s="12">
        <v>17</v>
      </c>
      <c r="B22" s="18">
        <v>23750105</v>
      </c>
      <c r="C22" s="18" t="s">
        <v>36</v>
      </c>
      <c r="D22" s="13"/>
      <c r="E22" s="14">
        <v>5</v>
      </c>
      <c r="F22" s="14">
        <v>5</v>
      </c>
      <c r="G22" s="14">
        <v>5</v>
      </c>
      <c r="H22" s="14">
        <v>5</v>
      </c>
      <c r="I22" s="16">
        <v>42</v>
      </c>
      <c r="J22" s="15">
        <f t="shared" si="0"/>
        <v>8.4</v>
      </c>
      <c r="K22" s="23">
        <v>82</v>
      </c>
      <c r="L22" s="17">
        <f t="shared" si="1"/>
        <v>16.399999999999999</v>
      </c>
      <c r="M22" s="14"/>
      <c r="N22" s="17">
        <f t="shared" si="2"/>
        <v>44.8</v>
      </c>
    </row>
    <row r="23" spans="1:14" ht="15.75" x14ac:dyDescent="0.25">
      <c r="A23" s="12">
        <v>18</v>
      </c>
      <c r="B23" s="18">
        <v>23750106</v>
      </c>
      <c r="C23" s="18" t="s">
        <v>37</v>
      </c>
      <c r="D23" s="13"/>
      <c r="E23" s="14">
        <v>5</v>
      </c>
      <c r="F23" s="14">
        <v>5</v>
      </c>
      <c r="G23" s="14">
        <v>5</v>
      </c>
      <c r="H23" s="14">
        <v>5</v>
      </c>
      <c r="I23" s="16">
        <v>44</v>
      </c>
      <c r="J23" s="15">
        <f t="shared" si="0"/>
        <v>8.8000000000000007</v>
      </c>
      <c r="K23" s="23">
        <v>86</v>
      </c>
      <c r="L23" s="17">
        <f t="shared" si="1"/>
        <v>17.2</v>
      </c>
      <c r="M23" s="14"/>
      <c r="N23" s="17">
        <f t="shared" si="2"/>
        <v>46</v>
      </c>
    </row>
    <row r="24" spans="1:14" ht="15.75" x14ac:dyDescent="0.25">
      <c r="A24" s="12">
        <v>19</v>
      </c>
      <c r="B24" s="18">
        <v>23750107</v>
      </c>
      <c r="C24" s="18" t="s">
        <v>38</v>
      </c>
      <c r="D24" s="13"/>
      <c r="E24" s="14">
        <v>5</v>
      </c>
      <c r="F24" s="14">
        <v>5</v>
      </c>
      <c r="G24" s="14">
        <v>5</v>
      </c>
      <c r="H24" s="14">
        <v>5</v>
      </c>
      <c r="I24" s="16">
        <v>43</v>
      </c>
      <c r="J24" s="15">
        <f t="shared" si="0"/>
        <v>8.6</v>
      </c>
      <c r="K24" s="23">
        <v>87</v>
      </c>
      <c r="L24" s="17">
        <f t="shared" si="1"/>
        <v>17.399999999999999</v>
      </c>
      <c r="M24" s="14"/>
      <c r="N24" s="17">
        <f t="shared" si="2"/>
        <v>46</v>
      </c>
    </row>
    <row r="25" spans="1:14" ht="15.75" x14ac:dyDescent="0.25">
      <c r="A25" s="12">
        <v>20</v>
      </c>
      <c r="B25" s="18">
        <v>23750108</v>
      </c>
      <c r="C25" s="18" t="s">
        <v>39</v>
      </c>
      <c r="D25" s="18"/>
      <c r="E25" s="14">
        <v>5</v>
      </c>
      <c r="F25" s="14">
        <v>5</v>
      </c>
      <c r="G25" s="14">
        <v>5</v>
      </c>
      <c r="H25" s="14">
        <v>5</v>
      </c>
      <c r="I25" s="16">
        <v>36</v>
      </c>
      <c r="J25" s="15">
        <f t="shared" si="0"/>
        <v>7.2</v>
      </c>
      <c r="K25" s="14">
        <v>86</v>
      </c>
      <c r="L25" s="17">
        <f t="shared" si="1"/>
        <v>17.2</v>
      </c>
      <c r="M25" s="14"/>
      <c r="N25" s="17">
        <f t="shared" si="2"/>
        <v>44.4</v>
      </c>
    </row>
    <row r="26" spans="1:14" ht="15.75" x14ac:dyDescent="0.25">
      <c r="A26" s="12">
        <v>21</v>
      </c>
      <c r="B26" s="18">
        <v>23750109</v>
      </c>
      <c r="C26" s="18" t="s">
        <v>40</v>
      </c>
      <c r="D26" s="18"/>
      <c r="E26" s="14">
        <v>5</v>
      </c>
      <c r="F26" s="14">
        <v>5</v>
      </c>
      <c r="G26" s="14">
        <v>5</v>
      </c>
      <c r="H26" s="14">
        <v>5</v>
      </c>
      <c r="I26" s="16">
        <v>32</v>
      </c>
      <c r="J26" s="15">
        <f t="shared" si="0"/>
        <v>6.4</v>
      </c>
      <c r="K26" s="14">
        <v>78</v>
      </c>
      <c r="L26" s="17">
        <f t="shared" si="1"/>
        <v>15.6</v>
      </c>
      <c r="M26" s="14"/>
      <c r="N26" s="17">
        <f t="shared" si="2"/>
        <v>42</v>
      </c>
    </row>
    <row r="27" spans="1:14" ht="15.75" x14ac:dyDescent="0.25">
      <c r="A27" s="12">
        <v>22</v>
      </c>
      <c r="B27" s="21">
        <v>23750110</v>
      </c>
      <c r="C27" s="21" t="s">
        <v>41</v>
      </c>
      <c r="D27" s="18"/>
      <c r="E27" s="14">
        <v>5</v>
      </c>
      <c r="F27" s="14">
        <v>5</v>
      </c>
      <c r="G27" s="14">
        <v>5</v>
      </c>
      <c r="H27" s="14">
        <v>5</v>
      </c>
      <c r="I27" s="16">
        <v>26</v>
      </c>
      <c r="J27" s="15">
        <f t="shared" si="0"/>
        <v>5.2</v>
      </c>
      <c r="K27" s="14">
        <v>79</v>
      </c>
      <c r="L27" s="17">
        <f t="shared" si="1"/>
        <v>15.8</v>
      </c>
      <c r="M27" s="14"/>
      <c r="N27" s="17">
        <f t="shared" si="2"/>
        <v>41</v>
      </c>
    </row>
    <row r="28" spans="1:14" ht="15.75" x14ac:dyDescent="0.25">
      <c r="A28" s="12">
        <v>23</v>
      </c>
      <c r="B28" s="18">
        <v>23750111</v>
      </c>
      <c r="C28" s="18" t="s">
        <v>42</v>
      </c>
      <c r="D28" s="18"/>
      <c r="E28" s="14">
        <v>5</v>
      </c>
      <c r="F28" s="14">
        <v>5</v>
      </c>
      <c r="G28" s="14">
        <v>5</v>
      </c>
      <c r="H28" s="14">
        <v>5</v>
      </c>
      <c r="I28" s="16">
        <v>40</v>
      </c>
      <c r="J28" s="15">
        <f t="shared" si="0"/>
        <v>8</v>
      </c>
      <c r="K28" s="14">
        <v>80</v>
      </c>
      <c r="L28" s="17">
        <f t="shared" si="1"/>
        <v>16</v>
      </c>
      <c r="M28" s="14"/>
      <c r="N28" s="17">
        <f t="shared" si="2"/>
        <v>44</v>
      </c>
    </row>
    <row r="29" spans="1:14" ht="15.75" x14ac:dyDescent="0.25">
      <c r="A29" s="12">
        <v>24</v>
      </c>
      <c r="B29" s="22">
        <v>23750112</v>
      </c>
      <c r="C29" s="22" t="s">
        <v>43</v>
      </c>
      <c r="D29" s="18"/>
      <c r="E29" s="14">
        <v>5</v>
      </c>
      <c r="F29" s="14">
        <v>5</v>
      </c>
      <c r="G29" s="14">
        <v>5</v>
      </c>
      <c r="H29" s="14">
        <v>5</v>
      </c>
      <c r="I29" s="16">
        <v>36</v>
      </c>
      <c r="J29" s="15">
        <f t="shared" si="0"/>
        <v>7.2</v>
      </c>
      <c r="K29" s="14">
        <v>78</v>
      </c>
      <c r="L29" s="17">
        <f t="shared" si="1"/>
        <v>15.6</v>
      </c>
      <c r="M29" s="14"/>
      <c r="N29" s="17">
        <f t="shared" si="2"/>
        <v>42.8</v>
      </c>
    </row>
    <row r="30" spans="1:14" ht="15.75" x14ac:dyDescent="0.25">
      <c r="A30" s="12">
        <v>25</v>
      </c>
      <c r="B30" s="18">
        <v>23750113</v>
      </c>
      <c r="C30" s="18" t="s">
        <v>44</v>
      </c>
      <c r="D30" s="19"/>
      <c r="E30" s="14">
        <v>5</v>
      </c>
      <c r="F30" s="14">
        <v>5</v>
      </c>
      <c r="G30" s="14">
        <v>5</v>
      </c>
      <c r="H30" s="14">
        <v>5</v>
      </c>
      <c r="I30" s="16">
        <v>34</v>
      </c>
      <c r="J30" s="15">
        <f t="shared" si="0"/>
        <v>6.8</v>
      </c>
      <c r="K30" s="14">
        <v>91</v>
      </c>
      <c r="L30" s="17">
        <f t="shared" si="1"/>
        <v>18.2</v>
      </c>
      <c r="M30" s="14"/>
      <c r="N30" s="17">
        <f t="shared" si="2"/>
        <v>45</v>
      </c>
    </row>
    <row r="31" spans="1:14" ht="15.75" x14ac:dyDescent="0.25">
      <c r="A31" s="14">
        <v>26</v>
      </c>
      <c r="B31" s="18">
        <v>23750114</v>
      </c>
      <c r="C31" s="18" t="s">
        <v>45</v>
      </c>
      <c r="D31" s="19"/>
      <c r="E31" s="14">
        <v>5</v>
      </c>
      <c r="F31" s="14">
        <v>5</v>
      </c>
      <c r="G31" s="14">
        <v>5</v>
      </c>
      <c r="H31" s="14">
        <v>5</v>
      </c>
      <c r="I31" s="16">
        <v>40</v>
      </c>
      <c r="J31" s="15">
        <f t="shared" si="0"/>
        <v>8</v>
      </c>
      <c r="K31" s="14">
        <v>92</v>
      </c>
      <c r="L31" s="17">
        <f t="shared" si="1"/>
        <v>18.399999999999999</v>
      </c>
      <c r="M31" s="14"/>
      <c r="N31" s="17">
        <f t="shared" si="2"/>
        <v>46.4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workbookViewId="0">
      <selection activeCell="H5" sqref="H5"/>
    </sheetView>
  </sheetViews>
  <sheetFormatPr defaultRowHeight="15" x14ac:dyDescent="0.25"/>
  <cols>
    <col min="3" max="3" width="30.85546875" customWidth="1"/>
    <col min="9" max="9" width="13.28515625" customWidth="1"/>
    <col min="10" max="10" width="14.7109375" customWidth="1"/>
    <col min="11" max="11" width="13.5703125" customWidth="1"/>
    <col min="12" max="12" width="13.42578125" customWidth="1"/>
  </cols>
  <sheetData>
    <row r="1" spans="1:14" ht="16.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5" x14ac:dyDescent="0.3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16.5" thickBot="1" x14ac:dyDescent="0.3">
      <c r="A4" s="32" t="s">
        <v>15</v>
      </c>
      <c r="B4" s="33"/>
      <c r="C4" s="34" t="s">
        <v>17</v>
      </c>
      <c r="D4" s="35"/>
      <c r="E4" s="35"/>
      <c r="F4" s="1" t="s">
        <v>48</v>
      </c>
      <c r="G4" s="2"/>
      <c r="H4" s="3"/>
      <c r="I4" s="2"/>
      <c r="J4" s="2"/>
      <c r="K4" s="2"/>
      <c r="L4" s="4" t="s">
        <v>2</v>
      </c>
      <c r="M4" s="2"/>
      <c r="N4" s="2"/>
    </row>
    <row r="5" spans="1:14" ht="33.75" x14ac:dyDescent="0.25">
      <c r="A5" s="5" t="s">
        <v>3</v>
      </c>
      <c r="B5" s="6" t="s">
        <v>4</v>
      </c>
      <c r="C5" s="7" t="s">
        <v>5</v>
      </c>
      <c r="D5" s="8" t="s">
        <v>18</v>
      </c>
      <c r="E5" s="8" t="s">
        <v>52</v>
      </c>
      <c r="F5" s="8" t="s">
        <v>6</v>
      </c>
      <c r="G5" s="8" t="s">
        <v>7</v>
      </c>
      <c r="H5" s="8" t="s">
        <v>53</v>
      </c>
      <c r="I5" s="8" t="s">
        <v>8</v>
      </c>
      <c r="J5" s="9" t="s">
        <v>9</v>
      </c>
      <c r="K5" s="10" t="s">
        <v>10</v>
      </c>
      <c r="L5" s="11" t="s">
        <v>11</v>
      </c>
      <c r="M5" s="8" t="s">
        <v>12</v>
      </c>
      <c r="N5" s="8" t="s">
        <v>13</v>
      </c>
    </row>
    <row r="6" spans="1:14" ht="15.75" x14ac:dyDescent="0.25">
      <c r="A6" s="12">
        <v>1</v>
      </c>
      <c r="B6" s="18">
        <v>23750089</v>
      </c>
      <c r="C6" s="18" t="s">
        <v>20</v>
      </c>
      <c r="D6" s="13"/>
      <c r="E6" s="14">
        <v>5</v>
      </c>
      <c r="F6" s="14">
        <v>5</v>
      </c>
      <c r="G6" s="14">
        <v>5</v>
      </c>
      <c r="H6" s="14">
        <v>5</v>
      </c>
      <c r="I6" s="16">
        <v>28</v>
      </c>
      <c r="J6" s="15">
        <f>I6/5</f>
        <v>5.6</v>
      </c>
      <c r="K6" s="23">
        <v>60</v>
      </c>
      <c r="L6" s="17">
        <f>K6/5</f>
        <v>12</v>
      </c>
      <c r="M6" s="14"/>
      <c r="N6" s="17">
        <f>E6+F6+G6+H6+J6+L6+M6</f>
        <v>37.6</v>
      </c>
    </row>
    <row r="7" spans="1:14" ht="15.75" x14ac:dyDescent="0.25">
      <c r="A7" s="12">
        <v>2</v>
      </c>
      <c r="B7" s="18">
        <v>23750090</v>
      </c>
      <c r="C7" s="18" t="s">
        <v>21</v>
      </c>
      <c r="D7" s="13"/>
      <c r="E7" s="14">
        <v>5</v>
      </c>
      <c r="F7" s="14">
        <v>5</v>
      </c>
      <c r="G7" s="14">
        <v>5</v>
      </c>
      <c r="H7" s="14">
        <v>5</v>
      </c>
      <c r="I7" s="16">
        <v>31</v>
      </c>
      <c r="J7" s="15">
        <f t="shared" ref="J7:J31" si="0">I7/5</f>
        <v>6.2</v>
      </c>
      <c r="K7" s="23">
        <v>59</v>
      </c>
      <c r="L7" s="17">
        <f t="shared" ref="L7:L31" si="1">K7/5</f>
        <v>11.8</v>
      </c>
      <c r="M7" s="14"/>
      <c r="N7" s="17">
        <f t="shared" ref="N7:N31" si="2">E7+F7+G7+H7+J7+L7+M7</f>
        <v>38</v>
      </c>
    </row>
    <row r="8" spans="1:14" ht="15.75" x14ac:dyDescent="0.25">
      <c r="A8" s="12">
        <v>3</v>
      </c>
      <c r="B8" s="18">
        <v>23750091</v>
      </c>
      <c r="C8" s="18" t="s">
        <v>22</v>
      </c>
      <c r="D8" s="13"/>
      <c r="E8" s="14">
        <v>5</v>
      </c>
      <c r="F8" s="14">
        <v>5</v>
      </c>
      <c r="G8" s="14">
        <v>5</v>
      </c>
      <c r="H8" s="14">
        <v>5</v>
      </c>
      <c r="I8" s="16">
        <v>37</v>
      </c>
      <c r="J8" s="15">
        <f t="shared" si="0"/>
        <v>7.4</v>
      </c>
      <c r="K8" s="23">
        <v>60</v>
      </c>
      <c r="L8" s="17">
        <f t="shared" si="1"/>
        <v>12</v>
      </c>
      <c r="M8" s="14"/>
      <c r="N8" s="17">
        <f t="shared" si="2"/>
        <v>39.4</v>
      </c>
    </row>
    <row r="9" spans="1:14" ht="15.75" x14ac:dyDescent="0.25">
      <c r="A9" s="12">
        <v>4</v>
      </c>
      <c r="B9" s="18">
        <v>23750092</v>
      </c>
      <c r="C9" s="18" t="s">
        <v>23</v>
      </c>
      <c r="D9" s="13"/>
      <c r="E9" s="14">
        <v>5</v>
      </c>
      <c r="F9" s="14">
        <v>5</v>
      </c>
      <c r="G9" s="14">
        <v>5</v>
      </c>
      <c r="H9" s="14">
        <v>5</v>
      </c>
      <c r="I9" s="16">
        <v>35</v>
      </c>
      <c r="J9" s="15">
        <f t="shared" si="0"/>
        <v>7</v>
      </c>
      <c r="K9" s="23">
        <v>62</v>
      </c>
      <c r="L9" s="17">
        <f t="shared" si="1"/>
        <v>12.4</v>
      </c>
      <c r="M9" s="14"/>
      <c r="N9" s="17">
        <f t="shared" si="2"/>
        <v>39.4</v>
      </c>
    </row>
    <row r="10" spans="1:14" ht="15.75" x14ac:dyDescent="0.25">
      <c r="A10" s="12">
        <v>5</v>
      </c>
      <c r="B10" s="18">
        <v>23750093</v>
      </c>
      <c r="C10" s="18" t="s">
        <v>24</v>
      </c>
      <c r="D10" s="13"/>
      <c r="E10" s="14">
        <v>5</v>
      </c>
      <c r="F10" s="14">
        <v>5</v>
      </c>
      <c r="G10" s="14">
        <v>5</v>
      </c>
      <c r="H10" s="14">
        <v>5</v>
      </c>
      <c r="I10" s="16">
        <v>27</v>
      </c>
      <c r="J10" s="15">
        <f t="shared" si="0"/>
        <v>5.4</v>
      </c>
      <c r="K10" s="23">
        <v>47</v>
      </c>
      <c r="L10" s="17">
        <f t="shared" si="1"/>
        <v>9.4</v>
      </c>
      <c r="M10" s="14"/>
      <c r="N10" s="17">
        <f t="shared" si="2"/>
        <v>34.799999999999997</v>
      </c>
    </row>
    <row r="11" spans="1:14" ht="15.75" x14ac:dyDescent="0.25">
      <c r="A11" s="12">
        <v>6</v>
      </c>
      <c r="B11" s="18">
        <v>23750094</v>
      </c>
      <c r="C11" s="18" t="s">
        <v>25</v>
      </c>
      <c r="D11" s="13"/>
      <c r="E11" s="14">
        <v>5</v>
      </c>
      <c r="F11" s="14">
        <v>5</v>
      </c>
      <c r="G11" s="14">
        <v>5</v>
      </c>
      <c r="H11" s="14">
        <v>5</v>
      </c>
      <c r="I11" s="16">
        <v>20</v>
      </c>
      <c r="J11" s="15">
        <f t="shared" si="0"/>
        <v>4</v>
      </c>
      <c r="K11" s="23" t="s">
        <v>47</v>
      </c>
      <c r="L11" s="17" t="e">
        <f t="shared" si="1"/>
        <v>#VALUE!</v>
      </c>
      <c r="M11" s="14"/>
      <c r="N11" s="17" t="e">
        <f t="shared" si="2"/>
        <v>#VALUE!</v>
      </c>
    </row>
    <row r="12" spans="1:14" ht="15.75" x14ac:dyDescent="0.25">
      <c r="A12" s="12">
        <v>7</v>
      </c>
      <c r="B12" s="18">
        <v>23750095</v>
      </c>
      <c r="C12" s="18" t="s">
        <v>26</v>
      </c>
      <c r="D12" s="13"/>
      <c r="E12" s="14">
        <v>5</v>
      </c>
      <c r="F12" s="14">
        <v>5</v>
      </c>
      <c r="G12" s="14">
        <v>5</v>
      </c>
      <c r="H12" s="14">
        <v>5</v>
      </c>
      <c r="I12" s="16">
        <v>25</v>
      </c>
      <c r="J12" s="15">
        <f t="shared" si="0"/>
        <v>5</v>
      </c>
      <c r="K12" s="23">
        <v>27</v>
      </c>
      <c r="L12" s="17">
        <f t="shared" si="1"/>
        <v>5.4</v>
      </c>
      <c r="M12" s="14"/>
      <c r="N12" s="17">
        <f t="shared" si="2"/>
        <v>30.4</v>
      </c>
    </row>
    <row r="13" spans="1:14" ht="15.75" x14ac:dyDescent="0.25">
      <c r="A13" s="12">
        <v>8</v>
      </c>
      <c r="B13" s="18">
        <v>23750096</v>
      </c>
      <c r="C13" s="18" t="s">
        <v>27</v>
      </c>
      <c r="D13" s="13"/>
      <c r="E13" s="14">
        <v>5</v>
      </c>
      <c r="F13" s="14">
        <v>5</v>
      </c>
      <c r="G13" s="14">
        <v>5</v>
      </c>
      <c r="H13" s="14">
        <v>5</v>
      </c>
      <c r="I13" s="16">
        <v>35</v>
      </c>
      <c r="J13" s="15">
        <f t="shared" si="0"/>
        <v>7</v>
      </c>
      <c r="K13" s="23">
        <v>25</v>
      </c>
      <c r="L13" s="17">
        <f t="shared" si="1"/>
        <v>5</v>
      </c>
      <c r="M13" s="14"/>
      <c r="N13" s="17">
        <f t="shared" si="2"/>
        <v>32</v>
      </c>
    </row>
    <row r="14" spans="1:14" ht="15.75" x14ac:dyDescent="0.25">
      <c r="A14" s="12">
        <v>9</v>
      </c>
      <c r="B14" s="18">
        <v>23750097</v>
      </c>
      <c r="C14" s="18" t="s">
        <v>28</v>
      </c>
      <c r="D14" s="13"/>
      <c r="E14" s="14">
        <v>5</v>
      </c>
      <c r="F14" s="14">
        <v>5</v>
      </c>
      <c r="G14" s="14">
        <v>5</v>
      </c>
      <c r="H14" s="14">
        <v>5</v>
      </c>
      <c r="I14" s="16">
        <v>33</v>
      </c>
      <c r="J14" s="15">
        <f t="shared" si="0"/>
        <v>6.6</v>
      </c>
      <c r="K14" s="23">
        <v>58</v>
      </c>
      <c r="L14" s="17">
        <f t="shared" si="1"/>
        <v>11.6</v>
      </c>
      <c r="M14" s="14"/>
      <c r="N14" s="17">
        <f t="shared" si="2"/>
        <v>38.200000000000003</v>
      </c>
    </row>
    <row r="15" spans="1:14" ht="15.75" x14ac:dyDescent="0.25">
      <c r="A15" s="12">
        <v>10</v>
      </c>
      <c r="B15" s="18">
        <v>23750098</v>
      </c>
      <c r="C15" s="18" t="s">
        <v>29</v>
      </c>
      <c r="D15" s="13"/>
      <c r="E15" s="14">
        <v>5</v>
      </c>
      <c r="F15" s="14">
        <v>5</v>
      </c>
      <c r="G15" s="14">
        <v>5</v>
      </c>
      <c r="H15" s="14">
        <v>5</v>
      </c>
      <c r="I15" s="16">
        <v>16</v>
      </c>
      <c r="J15" s="15">
        <f t="shared" si="0"/>
        <v>3.2</v>
      </c>
      <c r="K15" s="23">
        <v>39</v>
      </c>
      <c r="L15" s="17">
        <f t="shared" si="1"/>
        <v>7.8</v>
      </c>
      <c r="M15" s="14"/>
      <c r="N15" s="17">
        <f t="shared" si="2"/>
        <v>31</v>
      </c>
    </row>
    <row r="16" spans="1:14" ht="15.75" x14ac:dyDescent="0.25">
      <c r="A16" s="12">
        <v>11</v>
      </c>
      <c r="B16" s="18">
        <v>23750099</v>
      </c>
      <c r="C16" s="18" t="s">
        <v>30</v>
      </c>
      <c r="D16" s="13"/>
      <c r="E16" s="14">
        <v>5</v>
      </c>
      <c r="F16" s="14">
        <v>5</v>
      </c>
      <c r="G16" s="14">
        <v>5</v>
      </c>
      <c r="H16" s="14">
        <v>5</v>
      </c>
      <c r="I16" s="16">
        <v>20</v>
      </c>
      <c r="J16" s="15">
        <f t="shared" si="0"/>
        <v>4</v>
      </c>
      <c r="K16" s="23">
        <v>9</v>
      </c>
      <c r="L16" s="17">
        <f t="shared" si="1"/>
        <v>1.8</v>
      </c>
      <c r="M16" s="14"/>
      <c r="N16" s="17">
        <f t="shared" si="2"/>
        <v>25.8</v>
      </c>
    </row>
    <row r="17" spans="1:14" ht="15.75" x14ac:dyDescent="0.25">
      <c r="A17" s="12">
        <v>12</v>
      </c>
      <c r="B17" s="18">
        <v>23750100</v>
      </c>
      <c r="C17" s="18" t="s">
        <v>31</v>
      </c>
      <c r="D17" s="13"/>
      <c r="E17" s="14">
        <v>5</v>
      </c>
      <c r="F17" s="14">
        <v>5</v>
      </c>
      <c r="G17" s="14">
        <v>5</v>
      </c>
      <c r="H17" s="14">
        <v>5</v>
      </c>
      <c r="I17" s="16">
        <v>38</v>
      </c>
      <c r="J17" s="15">
        <f t="shared" si="0"/>
        <v>7.6</v>
      </c>
      <c r="K17" s="23">
        <v>76</v>
      </c>
      <c r="L17" s="17">
        <f t="shared" si="1"/>
        <v>15.2</v>
      </c>
      <c r="M17" s="14"/>
      <c r="N17" s="17">
        <f t="shared" si="2"/>
        <v>42.8</v>
      </c>
    </row>
    <row r="18" spans="1:14" ht="15.75" x14ac:dyDescent="0.25">
      <c r="A18" s="12">
        <v>13</v>
      </c>
      <c r="B18" s="18">
        <v>23750101</v>
      </c>
      <c r="C18" s="18" t="s">
        <v>32</v>
      </c>
      <c r="D18" s="13"/>
      <c r="E18" s="14">
        <v>5</v>
      </c>
      <c r="F18" s="14">
        <v>5</v>
      </c>
      <c r="G18" s="14">
        <v>5</v>
      </c>
      <c r="H18" s="14">
        <v>5</v>
      </c>
      <c r="I18" s="16">
        <v>38</v>
      </c>
      <c r="J18" s="15">
        <f t="shared" si="0"/>
        <v>7.6</v>
      </c>
      <c r="K18" s="23">
        <v>71</v>
      </c>
      <c r="L18" s="17">
        <f t="shared" si="1"/>
        <v>14.2</v>
      </c>
      <c r="M18" s="14"/>
      <c r="N18" s="17">
        <f t="shared" si="2"/>
        <v>41.8</v>
      </c>
    </row>
    <row r="19" spans="1:14" ht="15.75" x14ac:dyDescent="0.25">
      <c r="A19" s="12">
        <v>14</v>
      </c>
      <c r="B19" s="18">
        <v>23750102</v>
      </c>
      <c r="C19" s="18" t="s">
        <v>33</v>
      </c>
      <c r="D19" s="13"/>
      <c r="E19" s="14">
        <v>5</v>
      </c>
      <c r="F19" s="14">
        <v>5</v>
      </c>
      <c r="G19" s="14">
        <v>5</v>
      </c>
      <c r="H19" s="14">
        <v>5</v>
      </c>
      <c r="I19" s="16">
        <v>31</v>
      </c>
      <c r="J19" s="15">
        <f t="shared" si="0"/>
        <v>6.2</v>
      </c>
      <c r="K19" s="23">
        <v>55</v>
      </c>
      <c r="L19" s="17">
        <f t="shared" si="1"/>
        <v>11</v>
      </c>
      <c r="M19" s="14"/>
      <c r="N19" s="17">
        <f t="shared" si="2"/>
        <v>37.200000000000003</v>
      </c>
    </row>
    <row r="20" spans="1:14" ht="15.75" x14ac:dyDescent="0.25">
      <c r="A20" s="12">
        <v>15</v>
      </c>
      <c r="B20" s="18">
        <v>23750103</v>
      </c>
      <c r="C20" s="18" t="s">
        <v>34</v>
      </c>
      <c r="D20" s="13"/>
      <c r="E20" s="14">
        <v>5</v>
      </c>
      <c r="F20" s="14">
        <v>5</v>
      </c>
      <c r="G20" s="14">
        <v>5</v>
      </c>
      <c r="H20" s="14">
        <v>5</v>
      </c>
      <c r="I20" s="16">
        <v>26</v>
      </c>
      <c r="J20" s="15">
        <f t="shared" si="0"/>
        <v>5.2</v>
      </c>
      <c r="K20" s="23">
        <v>73</v>
      </c>
      <c r="L20" s="17">
        <f t="shared" si="1"/>
        <v>14.6</v>
      </c>
      <c r="M20" s="14"/>
      <c r="N20" s="17">
        <f t="shared" si="2"/>
        <v>39.799999999999997</v>
      </c>
    </row>
    <row r="21" spans="1:14" ht="15.75" x14ac:dyDescent="0.25">
      <c r="A21" s="12">
        <v>16</v>
      </c>
      <c r="B21" s="18">
        <v>23750104</v>
      </c>
      <c r="C21" s="18" t="s">
        <v>35</v>
      </c>
      <c r="D21" s="13"/>
      <c r="E21" s="14">
        <v>5</v>
      </c>
      <c r="F21" s="14">
        <v>5</v>
      </c>
      <c r="G21" s="14">
        <v>5</v>
      </c>
      <c r="H21" s="14">
        <v>5</v>
      </c>
      <c r="I21" s="16">
        <v>42</v>
      </c>
      <c r="J21" s="15">
        <f t="shared" si="0"/>
        <v>8.4</v>
      </c>
      <c r="K21" s="23">
        <v>83</v>
      </c>
      <c r="L21" s="17">
        <f t="shared" si="1"/>
        <v>16.600000000000001</v>
      </c>
      <c r="M21" s="14"/>
      <c r="N21" s="17">
        <f t="shared" si="2"/>
        <v>45</v>
      </c>
    </row>
    <row r="22" spans="1:14" ht="15.75" x14ac:dyDescent="0.25">
      <c r="A22" s="12">
        <v>17</v>
      </c>
      <c r="B22" s="18">
        <v>23750105</v>
      </c>
      <c r="C22" s="18" t="s">
        <v>36</v>
      </c>
      <c r="D22" s="13"/>
      <c r="E22" s="14">
        <v>5</v>
      </c>
      <c r="F22" s="14">
        <v>5</v>
      </c>
      <c r="G22" s="14">
        <v>5</v>
      </c>
      <c r="H22" s="14">
        <v>5</v>
      </c>
      <c r="I22" s="16">
        <v>41</v>
      </c>
      <c r="J22" s="15">
        <f t="shared" si="0"/>
        <v>8.1999999999999993</v>
      </c>
      <c r="K22" s="23">
        <v>80</v>
      </c>
      <c r="L22" s="17">
        <f t="shared" si="1"/>
        <v>16</v>
      </c>
      <c r="M22" s="14"/>
      <c r="N22" s="17">
        <f t="shared" si="2"/>
        <v>44.2</v>
      </c>
    </row>
    <row r="23" spans="1:14" ht="15.75" x14ac:dyDescent="0.25">
      <c r="A23" s="12">
        <v>18</v>
      </c>
      <c r="B23" s="18">
        <v>23750106</v>
      </c>
      <c r="C23" s="18" t="s">
        <v>37</v>
      </c>
      <c r="D23" s="13"/>
      <c r="E23" s="14">
        <v>5</v>
      </c>
      <c r="F23" s="14">
        <v>5</v>
      </c>
      <c r="G23" s="14">
        <v>5</v>
      </c>
      <c r="H23" s="14">
        <v>5</v>
      </c>
      <c r="I23" s="16">
        <v>41</v>
      </c>
      <c r="J23" s="15">
        <f t="shared" si="0"/>
        <v>8.1999999999999993</v>
      </c>
      <c r="K23" s="23">
        <v>75</v>
      </c>
      <c r="L23" s="17">
        <f t="shared" si="1"/>
        <v>15</v>
      </c>
      <c r="M23" s="14"/>
      <c r="N23" s="17">
        <f t="shared" si="2"/>
        <v>43.2</v>
      </c>
    </row>
    <row r="24" spans="1:14" ht="15.75" x14ac:dyDescent="0.25">
      <c r="A24" s="12">
        <v>19</v>
      </c>
      <c r="B24" s="18">
        <v>23750107</v>
      </c>
      <c r="C24" s="18" t="s">
        <v>38</v>
      </c>
      <c r="D24" s="13"/>
      <c r="E24" s="14">
        <v>5</v>
      </c>
      <c r="F24" s="14">
        <v>5</v>
      </c>
      <c r="G24" s="14">
        <v>5</v>
      </c>
      <c r="H24" s="14">
        <v>5</v>
      </c>
      <c r="I24" s="16">
        <v>37</v>
      </c>
      <c r="J24" s="15">
        <f t="shared" si="0"/>
        <v>7.4</v>
      </c>
      <c r="K24" s="23">
        <v>78</v>
      </c>
      <c r="L24" s="17">
        <f t="shared" si="1"/>
        <v>15.6</v>
      </c>
      <c r="M24" s="14"/>
      <c r="N24" s="17">
        <f t="shared" si="2"/>
        <v>43</v>
      </c>
    </row>
    <row r="25" spans="1:14" ht="15.75" x14ac:dyDescent="0.25">
      <c r="A25" s="12">
        <v>20</v>
      </c>
      <c r="B25" s="18">
        <v>23750108</v>
      </c>
      <c r="C25" s="18" t="s">
        <v>39</v>
      </c>
      <c r="D25" s="18"/>
      <c r="E25" s="14">
        <v>5</v>
      </c>
      <c r="F25" s="14">
        <v>5</v>
      </c>
      <c r="G25" s="14">
        <v>5</v>
      </c>
      <c r="H25" s="14">
        <v>5</v>
      </c>
      <c r="I25" s="16">
        <v>33</v>
      </c>
      <c r="J25" s="15">
        <f t="shared" si="0"/>
        <v>6.6</v>
      </c>
      <c r="K25" s="14">
        <v>43</v>
      </c>
      <c r="L25" s="17">
        <f t="shared" si="1"/>
        <v>8.6</v>
      </c>
      <c r="M25" s="14"/>
      <c r="N25" s="17">
        <f t="shared" si="2"/>
        <v>35.200000000000003</v>
      </c>
    </row>
    <row r="26" spans="1:14" ht="15.75" x14ac:dyDescent="0.25">
      <c r="A26" s="12">
        <v>21</v>
      </c>
      <c r="B26" s="18">
        <v>23750109</v>
      </c>
      <c r="C26" s="18" t="s">
        <v>40</v>
      </c>
      <c r="D26" s="18"/>
      <c r="E26" s="14">
        <v>5</v>
      </c>
      <c r="F26" s="14">
        <v>5</v>
      </c>
      <c r="G26" s="14">
        <v>5</v>
      </c>
      <c r="H26" s="14">
        <v>5</v>
      </c>
      <c r="I26" s="16">
        <v>25</v>
      </c>
      <c r="J26" s="15">
        <f t="shared" si="0"/>
        <v>5</v>
      </c>
      <c r="K26" s="14">
        <v>48</v>
      </c>
      <c r="L26" s="17">
        <f t="shared" si="1"/>
        <v>9.6</v>
      </c>
      <c r="M26" s="14"/>
      <c r="N26" s="17">
        <f t="shared" si="2"/>
        <v>34.6</v>
      </c>
    </row>
    <row r="27" spans="1:14" ht="15.75" x14ac:dyDescent="0.25">
      <c r="A27" s="12">
        <v>22</v>
      </c>
      <c r="B27" s="21">
        <v>23750110</v>
      </c>
      <c r="C27" s="21" t="s">
        <v>41</v>
      </c>
      <c r="D27" s="18"/>
      <c r="E27" s="14">
        <v>5</v>
      </c>
      <c r="F27" s="14">
        <v>5</v>
      </c>
      <c r="G27" s="14">
        <v>5</v>
      </c>
      <c r="H27" s="14">
        <v>5</v>
      </c>
      <c r="I27" s="16">
        <v>25</v>
      </c>
      <c r="J27" s="15">
        <f t="shared" si="0"/>
        <v>5</v>
      </c>
      <c r="K27" s="14">
        <v>29</v>
      </c>
      <c r="L27" s="17">
        <f t="shared" si="1"/>
        <v>5.8</v>
      </c>
      <c r="M27" s="14"/>
      <c r="N27" s="17">
        <f t="shared" si="2"/>
        <v>30.8</v>
      </c>
    </row>
    <row r="28" spans="1:14" ht="15.75" x14ac:dyDescent="0.25">
      <c r="A28" s="12">
        <v>23</v>
      </c>
      <c r="B28" s="18">
        <v>23750111</v>
      </c>
      <c r="C28" s="18" t="s">
        <v>42</v>
      </c>
      <c r="D28" s="18"/>
      <c r="E28" s="14">
        <v>5</v>
      </c>
      <c r="F28" s="14">
        <v>5</v>
      </c>
      <c r="G28" s="14">
        <v>5</v>
      </c>
      <c r="H28" s="14">
        <v>5</v>
      </c>
      <c r="I28" s="16">
        <v>32</v>
      </c>
      <c r="J28" s="15">
        <f t="shared" si="0"/>
        <v>6.4</v>
      </c>
      <c r="K28" s="14">
        <v>68</v>
      </c>
      <c r="L28" s="17">
        <f t="shared" si="1"/>
        <v>13.6</v>
      </c>
      <c r="M28" s="14"/>
      <c r="N28" s="17">
        <f t="shared" si="2"/>
        <v>40</v>
      </c>
    </row>
    <row r="29" spans="1:14" ht="15.75" x14ac:dyDescent="0.25">
      <c r="A29" s="12">
        <v>24</v>
      </c>
      <c r="B29" s="22">
        <v>23750112</v>
      </c>
      <c r="C29" s="22" t="s">
        <v>43</v>
      </c>
      <c r="D29" s="18"/>
      <c r="E29" s="14">
        <v>5</v>
      </c>
      <c r="F29" s="14">
        <v>5</v>
      </c>
      <c r="G29" s="14">
        <v>5</v>
      </c>
      <c r="H29" s="14">
        <v>5</v>
      </c>
      <c r="I29" s="16">
        <v>28</v>
      </c>
      <c r="J29" s="15">
        <f t="shared" si="0"/>
        <v>5.6</v>
      </c>
      <c r="K29" s="14">
        <v>62</v>
      </c>
      <c r="L29" s="17">
        <f t="shared" si="1"/>
        <v>12.4</v>
      </c>
      <c r="M29" s="14"/>
      <c r="N29" s="17">
        <f t="shared" si="2"/>
        <v>38</v>
      </c>
    </row>
    <row r="30" spans="1:14" ht="15.75" x14ac:dyDescent="0.25">
      <c r="A30" s="12">
        <v>25</v>
      </c>
      <c r="B30" s="18">
        <v>23750113</v>
      </c>
      <c r="C30" s="18" t="s">
        <v>44</v>
      </c>
      <c r="D30" s="19"/>
      <c r="E30" s="14">
        <v>5</v>
      </c>
      <c r="F30" s="14">
        <v>5</v>
      </c>
      <c r="G30" s="14">
        <v>5</v>
      </c>
      <c r="H30" s="14">
        <v>5</v>
      </c>
      <c r="I30" s="16">
        <v>20</v>
      </c>
      <c r="J30" s="15">
        <f t="shared" si="0"/>
        <v>4</v>
      </c>
      <c r="K30" s="14">
        <v>64</v>
      </c>
      <c r="L30" s="17">
        <f t="shared" si="1"/>
        <v>12.8</v>
      </c>
      <c r="M30" s="14"/>
      <c r="N30" s="17">
        <f t="shared" si="2"/>
        <v>36.799999999999997</v>
      </c>
    </row>
    <row r="31" spans="1:14" ht="15.75" x14ac:dyDescent="0.25">
      <c r="A31" s="14">
        <v>26</v>
      </c>
      <c r="B31" s="18">
        <v>23750114</v>
      </c>
      <c r="C31" s="18" t="s">
        <v>45</v>
      </c>
      <c r="D31" s="19"/>
      <c r="E31" s="14">
        <v>5</v>
      </c>
      <c r="F31" s="14">
        <v>5</v>
      </c>
      <c r="G31" s="14">
        <v>5</v>
      </c>
      <c r="H31" s="14">
        <v>5</v>
      </c>
      <c r="I31" s="16">
        <v>39</v>
      </c>
      <c r="J31" s="15">
        <f t="shared" si="0"/>
        <v>7.8</v>
      </c>
      <c r="K31" s="14">
        <v>58</v>
      </c>
      <c r="L31" s="17">
        <f t="shared" si="1"/>
        <v>11.6</v>
      </c>
      <c r="M31" s="14"/>
      <c r="N31" s="17">
        <f t="shared" si="2"/>
        <v>39.4</v>
      </c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topLeftCell="A4" workbookViewId="0">
      <selection activeCell="H5" sqref="H5"/>
    </sheetView>
  </sheetViews>
  <sheetFormatPr defaultRowHeight="15" x14ac:dyDescent="0.25"/>
  <cols>
    <col min="2" max="2" width="13.5703125" customWidth="1"/>
    <col min="3" max="3" width="30.85546875" customWidth="1"/>
    <col min="9" max="9" width="13.28515625" customWidth="1"/>
    <col min="10" max="10" width="14.7109375" customWidth="1"/>
    <col min="11" max="11" width="13.5703125" customWidth="1"/>
    <col min="12" max="12" width="13.42578125" customWidth="1"/>
  </cols>
  <sheetData>
    <row r="1" spans="1:14" ht="16.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5" x14ac:dyDescent="0.3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16.5" thickBot="1" x14ac:dyDescent="0.3">
      <c r="A4" s="32" t="s">
        <v>15</v>
      </c>
      <c r="B4" s="33"/>
      <c r="C4" s="34" t="s">
        <v>17</v>
      </c>
      <c r="D4" s="35"/>
      <c r="E4" s="35"/>
      <c r="F4" s="1" t="s">
        <v>49</v>
      </c>
      <c r="G4" s="2"/>
      <c r="H4" s="3"/>
      <c r="I4" s="2"/>
      <c r="J4" s="2"/>
      <c r="K4" s="2"/>
      <c r="L4" s="4" t="s">
        <v>2</v>
      </c>
      <c r="M4" s="2"/>
      <c r="N4" s="2"/>
    </row>
    <row r="5" spans="1:14" ht="33.75" x14ac:dyDescent="0.25">
      <c r="A5" s="5" t="s">
        <v>3</v>
      </c>
      <c r="B5" s="6" t="s">
        <v>4</v>
      </c>
      <c r="C5" s="7" t="s">
        <v>5</v>
      </c>
      <c r="D5" s="8" t="s">
        <v>18</v>
      </c>
      <c r="E5" s="8" t="s">
        <v>52</v>
      </c>
      <c r="F5" s="8" t="s">
        <v>6</v>
      </c>
      <c r="G5" s="8" t="s">
        <v>7</v>
      </c>
      <c r="H5" s="8" t="s">
        <v>53</v>
      </c>
      <c r="I5" s="8" t="s">
        <v>8</v>
      </c>
      <c r="J5" s="9" t="s">
        <v>9</v>
      </c>
      <c r="K5" s="10" t="s">
        <v>10</v>
      </c>
      <c r="L5" s="11" t="s">
        <v>11</v>
      </c>
      <c r="M5" s="8" t="s">
        <v>12</v>
      </c>
      <c r="N5" s="8" t="s">
        <v>13</v>
      </c>
    </row>
    <row r="6" spans="1:14" ht="15.75" x14ac:dyDescent="0.25">
      <c r="A6" s="12">
        <v>1</v>
      </c>
      <c r="B6" s="18">
        <v>23750089</v>
      </c>
      <c r="C6" s="18" t="s">
        <v>20</v>
      </c>
      <c r="D6" s="13"/>
      <c r="E6" s="14">
        <v>5</v>
      </c>
      <c r="F6" s="14">
        <v>5</v>
      </c>
      <c r="G6" s="14">
        <v>5</v>
      </c>
      <c r="H6" s="14">
        <v>5</v>
      </c>
      <c r="I6" s="24">
        <v>33</v>
      </c>
      <c r="J6" s="15">
        <f>I6/5</f>
        <v>6.6</v>
      </c>
      <c r="K6" s="23">
        <v>60</v>
      </c>
      <c r="L6" s="17">
        <f>K6/5</f>
        <v>12</v>
      </c>
      <c r="M6" s="14"/>
      <c r="N6" s="17">
        <f>E6+F6+G6+H6+J6+L6+M6</f>
        <v>38.6</v>
      </c>
    </row>
    <row r="7" spans="1:14" ht="15.75" x14ac:dyDescent="0.25">
      <c r="A7" s="12">
        <v>2</v>
      </c>
      <c r="B7" s="18">
        <v>23750090</v>
      </c>
      <c r="C7" s="18" t="s">
        <v>21</v>
      </c>
      <c r="D7" s="13"/>
      <c r="E7" s="14">
        <v>5</v>
      </c>
      <c r="F7" s="14">
        <v>5</v>
      </c>
      <c r="G7" s="14">
        <v>5</v>
      </c>
      <c r="H7" s="14">
        <v>5</v>
      </c>
      <c r="I7" s="24">
        <v>39</v>
      </c>
      <c r="J7" s="15">
        <f t="shared" ref="J7:J31" si="0">I7/5</f>
        <v>7.8</v>
      </c>
      <c r="K7" s="23">
        <v>53</v>
      </c>
      <c r="L7" s="17">
        <f t="shared" ref="L7:L31" si="1">K7/5</f>
        <v>10.6</v>
      </c>
      <c r="M7" s="14"/>
      <c r="N7" s="17">
        <f t="shared" ref="N7:N31" si="2">E7+F7+G7+H7+J7+L7+M7</f>
        <v>38.4</v>
      </c>
    </row>
    <row r="8" spans="1:14" ht="15.75" x14ac:dyDescent="0.25">
      <c r="A8" s="12">
        <v>3</v>
      </c>
      <c r="B8" s="18">
        <v>23750091</v>
      </c>
      <c r="C8" s="18" t="s">
        <v>22</v>
      </c>
      <c r="D8" s="13"/>
      <c r="E8" s="14">
        <v>5</v>
      </c>
      <c r="F8" s="14">
        <v>5</v>
      </c>
      <c r="G8" s="14">
        <v>5</v>
      </c>
      <c r="H8" s="14">
        <v>5</v>
      </c>
      <c r="I8" s="24">
        <v>41</v>
      </c>
      <c r="J8" s="15">
        <f t="shared" si="0"/>
        <v>8.1999999999999993</v>
      </c>
      <c r="K8" s="23">
        <v>52</v>
      </c>
      <c r="L8" s="17">
        <f t="shared" si="1"/>
        <v>10.4</v>
      </c>
      <c r="M8" s="14"/>
      <c r="N8" s="17">
        <f t="shared" si="2"/>
        <v>38.6</v>
      </c>
    </row>
    <row r="9" spans="1:14" ht="15.75" x14ac:dyDescent="0.25">
      <c r="A9" s="12">
        <v>4</v>
      </c>
      <c r="B9" s="18">
        <v>23750092</v>
      </c>
      <c r="C9" s="18" t="s">
        <v>23</v>
      </c>
      <c r="D9" s="13"/>
      <c r="E9" s="14">
        <v>5</v>
      </c>
      <c r="F9" s="14">
        <v>5</v>
      </c>
      <c r="G9" s="14">
        <v>5</v>
      </c>
      <c r="H9" s="14">
        <v>5</v>
      </c>
      <c r="I9" s="24">
        <v>37</v>
      </c>
      <c r="J9" s="15">
        <f t="shared" si="0"/>
        <v>7.4</v>
      </c>
      <c r="K9" s="23">
        <v>59</v>
      </c>
      <c r="L9" s="17">
        <f t="shared" si="1"/>
        <v>11.8</v>
      </c>
      <c r="M9" s="14"/>
      <c r="N9" s="17">
        <f t="shared" si="2"/>
        <v>39.200000000000003</v>
      </c>
    </row>
    <row r="10" spans="1:14" ht="15.75" x14ac:dyDescent="0.25">
      <c r="A10" s="12">
        <v>5</v>
      </c>
      <c r="B10" s="18">
        <v>23750093</v>
      </c>
      <c r="C10" s="18" t="s">
        <v>24</v>
      </c>
      <c r="D10" s="13"/>
      <c r="E10" s="14">
        <v>5</v>
      </c>
      <c r="F10" s="14">
        <v>5</v>
      </c>
      <c r="G10" s="14">
        <v>5</v>
      </c>
      <c r="H10" s="14">
        <v>5</v>
      </c>
      <c r="I10" s="24">
        <v>38</v>
      </c>
      <c r="J10" s="15">
        <f t="shared" si="0"/>
        <v>7.6</v>
      </c>
      <c r="K10" s="23">
        <v>50</v>
      </c>
      <c r="L10" s="17">
        <f t="shared" si="1"/>
        <v>10</v>
      </c>
      <c r="M10" s="14"/>
      <c r="N10" s="17">
        <f t="shared" si="2"/>
        <v>37.6</v>
      </c>
    </row>
    <row r="11" spans="1:14" ht="15.75" x14ac:dyDescent="0.25">
      <c r="A11" s="12">
        <v>6</v>
      </c>
      <c r="B11" s="18">
        <v>23750094</v>
      </c>
      <c r="C11" s="18" t="s">
        <v>25</v>
      </c>
      <c r="D11" s="13"/>
      <c r="E11" s="14">
        <v>5</v>
      </c>
      <c r="F11" s="14">
        <v>5</v>
      </c>
      <c r="G11" s="14">
        <v>5</v>
      </c>
      <c r="H11" s="14">
        <v>5</v>
      </c>
      <c r="I11" s="24">
        <v>17</v>
      </c>
      <c r="J11" s="15">
        <f t="shared" si="0"/>
        <v>3.4</v>
      </c>
      <c r="K11" s="23">
        <v>20</v>
      </c>
      <c r="L11" s="17">
        <f t="shared" si="1"/>
        <v>4</v>
      </c>
      <c r="M11" s="14"/>
      <c r="N11" s="17">
        <f t="shared" si="2"/>
        <v>27.4</v>
      </c>
    </row>
    <row r="12" spans="1:14" ht="15.75" x14ac:dyDescent="0.25">
      <c r="A12" s="12">
        <v>7</v>
      </c>
      <c r="B12" s="18">
        <v>23750095</v>
      </c>
      <c r="C12" s="18" t="s">
        <v>26</v>
      </c>
      <c r="D12" s="13"/>
      <c r="E12" s="14">
        <v>5</v>
      </c>
      <c r="F12" s="14">
        <v>5</v>
      </c>
      <c r="G12" s="14">
        <v>5</v>
      </c>
      <c r="H12" s="14">
        <v>5</v>
      </c>
      <c r="I12" s="24">
        <v>25</v>
      </c>
      <c r="J12" s="15">
        <f t="shared" si="0"/>
        <v>5</v>
      </c>
      <c r="K12" s="23">
        <v>24</v>
      </c>
      <c r="L12" s="17">
        <f t="shared" si="1"/>
        <v>4.8</v>
      </c>
      <c r="M12" s="14"/>
      <c r="N12" s="17">
        <f t="shared" si="2"/>
        <v>29.8</v>
      </c>
    </row>
    <row r="13" spans="1:14" ht="15.75" x14ac:dyDescent="0.25">
      <c r="A13" s="12">
        <v>8</v>
      </c>
      <c r="B13" s="18">
        <v>23750096</v>
      </c>
      <c r="C13" s="18" t="s">
        <v>27</v>
      </c>
      <c r="D13" s="13"/>
      <c r="E13" s="14">
        <v>5</v>
      </c>
      <c r="F13" s="14">
        <v>5</v>
      </c>
      <c r="G13" s="14">
        <v>5</v>
      </c>
      <c r="H13" s="14">
        <v>5</v>
      </c>
      <c r="I13" s="24">
        <v>25</v>
      </c>
      <c r="J13" s="15">
        <f t="shared" si="0"/>
        <v>5</v>
      </c>
      <c r="K13" s="23">
        <v>25</v>
      </c>
      <c r="L13" s="17">
        <f t="shared" si="1"/>
        <v>5</v>
      </c>
      <c r="M13" s="14"/>
      <c r="N13" s="17">
        <f t="shared" si="2"/>
        <v>30</v>
      </c>
    </row>
    <row r="14" spans="1:14" ht="15.75" x14ac:dyDescent="0.25">
      <c r="A14" s="12">
        <v>9</v>
      </c>
      <c r="B14" s="18">
        <v>23750097</v>
      </c>
      <c r="C14" s="18" t="s">
        <v>28</v>
      </c>
      <c r="D14" s="13"/>
      <c r="E14" s="14">
        <v>5</v>
      </c>
      <c r="F14" s="14">
        <v>5</v>
      </c>
      <c r="G14" s="14">
        <v>5</v>
      </c>
      <c r="H14" s="14">
        <v>5</v>
      </c>
      <c r="I14" s="24">
        <v>25</v>
      </c>
      <c r="J14" s="15">
        <f t="shared" si="0"/>
        <v>5</v>
      </c>
      <c r="K14" s="23">
        <v>50</v>
      </c>
      <c r="L14" s="17">
        <f t="shared" si="1"/>
        <v>10</v>
      </c>
      <c r="M14" s="14"/>
      <c r="N14" s="17">
        <f t="shared" si="2"/>
        <v>35</v>
      </c>
    </row>
    <row r="15" spans="1:14" ht="15.75" x14ac:dyDescent="0.25">
      <c r="A15" s="12">
        <v>10</v>
      </c>
      <c r="B15" s="18">
        <v>23750098</v>
      </c>
      <c r="C15" s="18" t="s">
        <v>29</v>
      </c>
      <c r="D15" s="13"/>
      <c r="E15" s="14">
        <v>5</v>
      </c>
      <c r="F15" s="14">
        <v>5</v>
      </c>
      <c r="G15" s="14">
        <v>5</v>
      </c>
      <c r="H15" s="14">
        <v>5</v>
      </c>
      <c r="I15" s="24">
        <v>18</v>
      </c>
      <c r="J15" s="15">
        <f t="shared" si="0"/>
        <v>3.6</v>
      </c>
      <c r="K15" s="23">
        <v>25</v>
      </c>
      <c r="L15" s="17">
        <f t="shared" si="1"/>
        <v>5</v>
      </c>
      <c r="M15" s="14"/>
      <c r="N15" s="17">
        <f t="shared" si="2"/>
        <v>28.6</v>
      </c>
    </row>
    <row r="16" spans="1:14" ht="15.75" x14ac:dyDescent="0.25">
      <c r="A16" s="12">
        <v>11</v>
      </c>
      <c r="B16" s="18">
        <v>23750099</v>
      </c>
      <c r="C16" s="18" t="s">
        <v>30</v>
      </c>
      <c r="D16" s="13"/>
      <c r="E16" s="14">
        <v>5</v>
      </c>
      <c r="F16" s="14">
        <v>5</v>
      </c>
      <c r="G16" s="14">
        <v>5</v>
      </c>
      <c r="H16" s="14">
        <v>5</v>
      </c>
      <c r="I16" s="24">
        <v>18</v>
      </c>
      <c r="J16" s="15">
        <f t="shared" si="0"/>
        <v>3.6</v>
      </c>
      <c r="K16" s="23">
        <v>21</v>
      </c>
      <c r="L16" s="17">
        <f t="shared" si="1"/>
        <v>4.2</v>
      </c>
      <c r="M16" s="14"/>
      <c r="N16" s="17">
        <f t="shared" si="2"/>
        <v>27.8</v>
      </c>
    </row>
    <row r="17" spans="1:14" ht="15.75" x14ac:dyDescent="0.25">
      <c r="A17" s="12">
        <v>12</v>
      </c>
      <c r="B17" s="18">
        <v>23750100</v>
      </c>
      <c r="C17" s="18" t="s">
        <v>31</v>
      </c>
      <c r="D17" s="13"/>
      <c r="E17" s="14">
        <v>5</v>
      </c>
      <c r="F17" s="14">
        <v>5</v>
      </c>
      <c r="G17" s="14">
        <v>5</v>
      </c>
      <c r="H17" s="14">
        <v>5</v>
      </c>
      <c r="I17" s="24">
        <v>32</v>
      </c>
      <c r="J17" s="15">
        <f t="shared" si="0"/>
        <v>6.4</v>
      </c>
      <c r="K17" s="23">
        <v>73</v>
      </c>
      <c r="L17" s="17">
        <f t="shared" si="1"/>
        <v>14.6</v>
      </c>
      <c r="M17" s="14"/>
      <c r="N17" s="17">
        <f t="shared" si="2"/>
        <v>41</v>
      </c>
    </row>
    <row r="18" spans="1:14" ht="15.75" x14ac:dyDescent="0.25">
      <c r="A18" s="12">
        <v>13</v>
      </c>
      <c r="B18" s="18">
        <v>23750101</v>
      </c>
      <c r="C18" s="18" t="s">
        <v>32</v>
      </c>
      <c r="D18" s="13"/>
      <c r="E18" s="14">
        <v>5</v>
      </c>
      <c r="F18" s="14">
        <v>5</v>
      </c>
      <c r="G18" s="14">
        <v>5</v>
      </c>
      <c r="H18" s="14">
        <v>5</v>
      </c>
      <c r="I18" s="24">
        <v>41</v>
      </c>
      <c r="J18" s="15">
        <f t="shared" si="0"/>
        <v>8.1999999999999993</v>
      </c>
      <c r="K18" s="23">
        <v>66</v>
      </c>
      <c r="L18" s="17">
        <f t="shared" si="1"/>
        <v>13.2</v>
      </c>
      <c r="M18" s="14"/>
      <c r="N18" s="17">
        <f t="shared" si="2"/>
        <v>41.4</v>
      </c>
    </row>
    <row r="19" spans="1:14" ht="15.75" x14ac:dyDescent="0.25">
      <c r="A19" s="12">
        <v>14</v>
      </c>
      <c r="B19" s="18">
        <v>23750102</v>
      </c>
      <c r="C19" s="18" t="s">
        <v>33</v>
      </c>
      <c r="D19" s="13"/>
      <c r="E19" s="14">
        <v>5</v>
      </c>
      <c r="F19" s="14">
        <v>5</v>
      </c>
      <c r="G19" s="14">
        <v>5</v>
      </c>
      <c r="H19" s="14">
        <v>5</v>
      </c>
      <c r="I19" s="24">
        <v>37</v>
      </c>
      <c r="J19" s="15">
        <f t="shared" si="0"/>
        <v>7.4</v>
      </c>
      <c r="K19" s="23">
        <v>57</v>
      </c>
      <c r="L19" s="17">
        <f t="shared" si="1"/>
        <v>11.4</v>
      </c>
      <c r="M19" s="14"/>
      <c r="N19" s="17">
        <f t="shared" si="2"/>
        <v>38.799999999999997</v>
      </c>
    </row>
    <row r="20" spans="1:14" ht="15.75" x14ac:dyDescent="0.25">
      <c r="A20" s="12">
        <v>15</v>
      </c>
      <c r="B20" s="18">
        <v>23750103</v>
      </c>
      <c r="C20" s="18" t="s">
        <v>34</v>
      </c>
      <c r="D20" s="13"/>
      <c r="E20" s="14">
        <v>5</v>
      </c>
      <c r="F20" s="14">
        <v>5</v>
      </c>
      <c r="G20" s="14">
        <v>5</v>
      </c>
      <c r="H20" s="14">
        <v>5</v>
      </c>
      <c r="I20" s="24">
        <v>35</v>
      </c>
      <c r="J20" s="15">
        <f t="shared" si="0"/>
        <v>7</v>
      </c>
      <c r="K20" s="23">
        <v>63</v>
      </c>
      <c r="L20" s="17">
        <f t="shared" si="1"/>
        <v>12.6</v>
      </c>
      <c r="M20" s="14"/>
      <c r="N20" s="17">
        <f t="shared" si="2"/>
        <v>39.6</v>
      </c>
    </row>
    <row r="21" spans="1:14" ht="15.75" x14ac:dyDescent="0.25">
      <c r="A21" s="12">
        <v>16</v>
      </c>
      <c r="B21" s="18">
        <v>23750104</v>
      </c>
      <c r="C21" s="18" t="s">
        <v>35</v>
      </c>
      <c r="D21" s="13"/>
      <c r="E21" s="14">
        <v>5</v>
      </c>
      <c r="F21" s="14">
        <v>5</v>
      </c>
      <c r="G21" s="14">
        <v>5</v>
      </c>
      <c r="H21" s="14">
        <v>5</v>
      </c>
      <c r="I21" s="24">
        <v>46</v>
      </c>
      <c r="J21" s="15">
        <f t="shared" si="0"/>
        <v>9.1999999999999993</v>
      </c>
      <c r="K21" s="23">
        <v>85</v>
      </c>
      <c r="L21" s="17">
        <f t="shared" si="1"/>
        <v>17</v>
      </c>
      <c r="M21" s="14"/>
      <c r="N21" s="17">
        <f t="shared" si="2"/>
        <v>46.2</v>
      </c>
    </row>
    <row r="22" spans="1:14" ht="15.75" x14ac:dyDescent="0.25">
      <c r="A22" s="12">
        <v>17</v>
      </c>
      <c r="B22" s="18">
        <v>23750105</v>
      </c>
      <c r="C22" s="18" t="s">
        <v>36</v>
      </c>
      <c r="D22" s="13"/>
      <c r="E22" s="14">
        <v>5</v>
      </c>
      <c r="F22" s="14">
        <v>5</v>
      </c>
      <c r="G22" s="14">
        <v>5</v>
      </c>
      <c r="H22" s="14">
        <v>5</v>
      </c>
      <c r="I22" s="24">
        <v>38</v>
      </c>
      <c r="J22" s="15">
        <f t="shared" si="0"/>
        <v>7.6</v>
      </c>
      <c r="K22" s="23">
        <v>82</v>
      </c>
      <c r="L22" s="17">
        <f t="shared" si="1"/>
        <v>16.399999999999999</v>
      </c>
      <c r="M22" s="14"/>
      <c r="N22" s="17">
        <f t="shared" si="2"/>
        <v>44</v>
      </c>
    </row>
    <row r="23" spans="1:14" ht="15.75" x14ac:dyDescent="0.25">
      <c r="A23" s="12">
        <v>18</v>
      </c>
      <c r="B23" s="18">
        <v>23750106</v>
      </c>
      <c r="C23" s="18" t="s">
        <v>37</v>
      </c>
      <c r="D23" s="13"/>
      <c r="E23" s="14">
        <v>5</v>
      </c>
      <c r="F23" s="14">
        <v>5</v>
      </c>
      <c r="G23" s="14">
        <v>5</v>
      </c>
      <c r="H23" s="14">
        <v>5</v>
      </c>
      <c r="I23" s="24">
        <v>43</v>
      </c>
      <c r="J23" s="15">
        <f t="shared" si="0"/>
        <v>8.6</v>
      </c>
      <c r="K23" s="23">
        <v>87</v>
      </c>
      <c r="L23" s="17">
        <f t="shared" si="1"/>
        <v>17.399999999999999</v>
      </c>
      <c r="M23" s="14"/>
      <c r="N23" s="17">
        <f t="shared" si="2"/>
        <v>46</v>
      </c>
    </row>
    <row r="24" spans="1:14" ht="15.75" x14ac:dyDescent="0.25">
      <c r="A24" s="12">
        <v>19</v>
      </c>
      <c r="B24" s="18">
        <v>23750107</v>
      </c>
      <c r="C24" s="18" t="s">
        <v>38</v>
      </c>
      <c r="D24" s="13"/>
      <c r="E24" s="14">
        <v>5</v>
      </c>
      <c r="F24" s="14">
        <v>5</v>
      </c>
      <c r="G24" s="14">
        <v>5</v>
      </c>
      <c r="H24" s="14">
        <v>5</v>
      </c>
      <c r="I24" s="24">
        <v>34</v>
      </c>
      <c r="J24" s="15">
        <f t="shared" si="0"/>
        <v>6.8</v>
      </c>
      <c r="K24" s="23">
        <v>65</v>
      </c>
      <c r="L24" s="17">
        <f t="shared" si="1"/>
        <v>13</v>
      </c>
      <c r="M24" s="14"/>
      <c r="N24" s="17">
        <f t="shared" si="2"/>
        <v>39.799999999999997</v>
      </c>
    </row>
    <row r="25" spans="1:14" x14ac:dyDescent="0.25">
      <c r="A25" s="12">
        <v>20</v>
      </c>
      <c r="B25" s="18">
        <v>23750108</v>
      </c>
      <c r="C25" s="18" t="s">
        <v>39</v>
      </c>
      <c r="D25" s="18"/>
      <c r="E25" s="14">
        <v>5</v>
      </c>
      <c r="F25" s="14">
        <v>5</v>
      </c>
      <c r="G25" s="14">
        <v>5</v>
      </c>
      <c r="H25" s="14">
        <v>5</v>
      </c>
      <c r="I25" s="24">
        <v>40</v>
      </c>
      <c r="J25" s="15">
        <f t="shared" si="0"/>
        <v>8</v>
      </c>
      <c r="K25" s="14" t="s">
        <v>47</v>
      </c>
      <c r="L25" s="17" t="e">
        <f t="shared" si="1"/>
        <v>#VALUE!</v>
      </c>
      <c r="M25" s="14"/>
      <c r="N25" s="17" t="e">
        <f t="shared" si="2"/>
        <v>#VALUE!</v>
      </c>
    </row>
    <row r="26" spans="1:14" x14ac:dyDescent="0.25">
      <c r="A26" s="12">
        <v>21</v>
      </c>
      <c r="B26" s="18">
        <v>23750109</v>
      </c>
      <c r="C26" s="18" t="s">
        <v>40</v>
      </c>
      <c r="D26" s="18"/>
      <c r="E26" s="14">
        <v>5</v>
      </c>
      <c r="F26" s="14">
        <v>5</v>
      </c>
      <c r="G26" s="14">
        <v>5</v>
      </c>
      <c r="H26" s="14">
        <v>5</v>
      </c>
      <c r="I26" s="24">
        <v>34</v>
      </c>
      <c r="J26" s="15">
        <f t="shared" si="0"/>
        <v>6.8</v>
      </c>
      <c r="K26" s="14">
        <v>50</v>
      </c>
      <c r="L26" s="17">
        <f t="shared" si="1"/>
        <v>10</v>
      </c>
      <c r="M26" s="14"/>
      <c r="N26" s="17">
        <f t="shared" si="2"/>
        <v>36.799999999999997</v>
      </c>
    </row>
    <row r="27" spans="1:14" x14ac:dyDescent="0.25">
      <c r="A27" s="12">
        <v>22</v>
      </c>
      <c r="B27" s="21">
        <v>23750110</v>
      </c>
      <c r="C27" s="21" t="s">
        <v>41</v>
      </c>
      <c r="D27" s="18"/>
      <c r="E27" s="14">
        <v>5</v>
      </c>
      <c r="F27" s="14">
        <v>5</v>
      </c>
      <c r="G27" s="14">
        <v>5</v>
      </c>
      <c r="H27" s="14">
        <v>5</v>
      </c>
      <c r="I27" s="24">
        <v>14</v>
      </c>
      <c r="J27" s="15">
        <f t="shared" si="0"/>
        <v>2.8</v>
      </c>
      <c r="K27" s="14">
        <v>14</v>
      </c>
      <c r="L27" s="17">
        <f t="shared" si="1"/>
        <v>2.8</v>
      </c>
      <c r="M27" s="14"/>
      <c r="N27" s="17">
        <f t="shared" si="2"/>
        <v>25.6</v>
      </c>
    </row>
    <row r="28" spans="1:14" x14ac:dyDescent="0.25">
      <c r="A28" s="12">
        <v>23</v>
      </c>
      <c r="B28" s="18">
        <v>23750111</v>
      </c>
      <c r="C28" s="18" t="s">
        <v>42</v>
      </c>
      <c r="D28" s="18"/>
      <c r="E28" s="14">
        <v>5</v>
      </c>
      <c r="F28" s="14">
        <v>5</v>
      </c>
      <c r="G28" s="14">
        <v>5</v>
      </c>
      <c r="H28" s="14">
        <v>5</v>
      </c>
      <c r="I28" s="24">
        <v>31</v>
      </c>
      <c r="J28" s="15">
        <f t="shared" si="0"/>
        <v>6.2</v>
      </c>
      <c r="K28" s="14">
        <v>56</v>
      </c>
      <c r="L28" s="17">
        <f t="shared" si="1"/>
        <v>11.2</v>
      </c>
      <c r="M28" s="14"/>
      <c r="N28" s="17">
        <f t="shared" si="2"/>
        <v>37.4</v>
      </c>
    </row>
    <row r="29" spans="1:14" x14ac:dyDescent="0.25">
      <c r="A29" s="12">
        <v>24</v>
      </c>
      <c r="B29" s="22">
        <v>23750112</v>
      </c>
      <c r="C29" s="22" t="s">
        <v>43</v>
      </c>
      <c r="D29" s="18"/>
      <c r="E29" s="14">
        <v>5</v>
      </c>
      <c r="F29" s="14">
        <v>5</v>
      </c>
      <c r="G29" s="14">
        <v>5</v>
      </c>
      <c r="H29" s="14">
        <v>5</v>
      </c>
      <c r="I29" s="24">
        <v>26</v>
      </c>
      <c r="J29" s="15">
        <f t="shared" si="0"/>
        <v>5.2</v>
      </c>
      <c r="K29" s="14">
        <v>54</v>
      </c>
      <c r="L29" s="17">
        <f t="shared" si="1"/>
        <v>10.8</v>
      </c>
      <c r="M29" s="14"/>
      <c r="N29" s="17">
        <f t="shared" si="2"/>
        <v>36</v>
      </c>
    </row>
    <row r="30" spans="1:14" x14ac:dyDescent="0.25">
      <c r="A30" s="12">
        <v>25</v>
      </c>
      <c r="B30" s="18">
        <v>23750113</v>
      </c>
      <c r="C30" s="18" t="s">
        <v>44</v>
      </c>
      <c r="D30" s="19"/>
      <c r="E30" s="14">
        <v>5</v>
      </c>
      <c r="F30" s="14">
        <v>5</v>
      </c>
      <c r="G30" s="14">
        <v>5</v>
      </c>
      <c r="H30" s="14">
        <v>5</v>
      </c>
      <c r="I30" s="24">
        <v>25</v>
      </c>
      <c r="J30" s="15">
        <f t="shared" si="0"/>
        <v>5</v>
      </c>
      <c r="K30" s="14">
        <v>38</v>
      </c>
      <c r="L30" s="17">
        <f t="shared" si="1"/>
        <v>7.6</v>
      </c>
      <c r="M30" s="14"/>
      <c r="N30" s="17">
        <f t="shared" si="2"/>
        <v>32.6</v>
      </c>
    </row>
    <row r="31" spans="1:14" x14ac:dyDescent="0.25">
      <c r="A31" s="14">
        <v>26</v>
      </c>
      <c r="B31" s="18">
        <v>23750114</v>
      </c>
      <c r="C31" s="18" t="s">
        <v>45</v>
      </c>
      <c r="D31" s="19"/>
      <c r="E31" s="14">
        <v>5</v>
      </c>
      <c r="F31" s="14">
        <v>5</v>
      </c>
      <c r="G31" s="14">
        <v>5</v>
      </c>
      <c r="H31" s="14">
        <v>5</v>
      </c>
      <c r="I31" s="24">
        <v>43</v>
      </c>
      <c r="J31" s="15">
        <f t="shared" si="0"/>
        <v>8.6</v>
      </c>
      <c r="K31" s="14">
        <v>50</v>
      </c>
      <c r="L31" s="17">
        <f t="shared" si="1"/>
        <v>10</v>
      </c>
      <c r="M31" s="14"/>
      <c r="N31" s="17">
        <f t="shared" si="2"/>
        <v>38.6</v>
      </c>
    </row>
    <row r="32" spans="1:14" x14ac:dyDescent="0.25">
      <c r="I32" s="25"/>
    </row>
    <row r="33" spans="9:9" x14ac:dyDescent="0.25">
      <c r="I33" s="25"/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3"/>
  <sheetViews>
    <sheetView workbookViewId="0">
      <selection activeCell="H5" sqref="H5"/>
    </sheetView>
  </sheetViews>
  <sheetFormatPr defaultRowHeight="15" x14ac:dyDescent="0.25"/>
  <cols>
    <col min="2" max="2" width="13.5703125" customWidth="1"/>
    <col min="3" max="3" width="30.85546875" customWidth="1"/>
    <col min="9" max="9" width="13.28515625" customWidth="1"/>
    <col min="10" max="10" width="14.7109375" customWidth="1"/>
    <col min="11" max="11" width="13.5703125" customWidth="1"/>
    <col min="12" max="12" width="13.42578125" customWidth="1"/>
  </cols>
  <sheetData>
    <row r="1" spans="1:14" ht="16.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</row>
    <row r="3" spans="1:14" ht="19.5" x14ac:dyDescent="0.3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</row>
    <row r="4" spans="1:14" ht="16.5" thickBot="1" x14ac:dyDescent="0.3">
      <c r="A4" s="32" t="s">
        <v>15</v>
      </c>
      <c r="B4" s="33"/>
      <c r="C4" s="34" t="s">
        <v>17</v>
      </c>
      <c r="D4" s="35"/>
      <c r="E4" s="35"/>
      <c r="F4" s="1" t="s">
        <v>50</v>
      </c>
      <c r="G4" s="2"/>
      <c r="H4" s="3"/>
      <c r="I4" s="2"/>
      <c r="J4" s="2"/>
      <c r="K4" s="2"/>
      <c r="L4" s="4" t="s">
        <v>2</v>
      </c>
      <c r="M4" s="2"/>
      <c r="N4" s="2"/>
    </row>
    <row r="5" spans="1:14" ht="33.75" x14ac:dyDescent="0.25">
      <c r="A5" s="5" t="s">
        <v>3</v>
      </c>
      <c r="B5" s="6" t="s">
        <v>4</v>
      </c>
      <c r="C5" s="7" t="s">
        <v>5</v>
      </c>
      <c r="D5" s="8" t="s">
        <v>18</v>
      </c>
      <c r="E5" s="8" t="s">
        <v>52</v>
      </c>
      <c r="F5" s="8" t="s">
        <v>6</v>
      </c>
      <c r="G5" s="8" t="s">
        <v>7</v>
      </c>
      <c r="H5" s="8" t="s">
        <v>53</v>
      </c>
      <c r="I5" s="8" t="s">
        <v>8</v>
      </c>
      <c r="J5" s="9" t="s">
        <v>9</v>
      </c>
      <c r="K5" s="10" t="s">
        <v>10</v>
      </c>
      <c r="L5" s="11" t="s">
        <v>11</v>
      </c>
      <c r="M5" s="8" t="s">
        <v>12</v>
      </c>
      <c r="N5" s="8" t="s">
        <v>13</v>
      </c>
    </row>
    <row r="6" spans="1:14" ht="15.75" x14ac:dyDescent="0.25">
      <c r="A6" s="12">
        <v>1</v>
      </c>
      <c r="B6" s="18">
        <v>23750089</v>
      </c>
      <c r="C6" s="18" t="s">
        <v>20</v>
      </c>
      <c r="D6" s="13"/>
      <c r="E6" s="14">
        <v>5</v>
      </c>
      <c r="F6" s="14">
        <v>5</v>
      </c>
      <c r="G6" s="14">
        <v>5</v>
      </c>
      <c r="H6" s="14">
        <v>5</v>
      </c>
      <c r="I6" s="16">
        <v>40</v>
      </c>
      <c r="J6" s="15">
        <f>I6/5</f>
        <v>8</v>
      </c>
      <c r="K6" s="26">
        <v>49</v>
      </c>
      <c r="L6" s="17">
        <f>K6/5</f>
        <v>9.8000000000000007</v>
      </c>
      <c r="M6" s="14"/>
      <c r="N6" s="17">
        <f>E6+F6+G6+H6+J6+L6+M6</f>
        <v>37.799999999999997</v>
      </c>
    </row>
    <row r="7" spans="1:14" ht="15.75" x14ac:dyDescent="0.25">
      <c r="A7" s="12">
        <v>2</v>
      </c>
      <c r="B7" s="18">
        <v>23750090</v>
      </c>
      <c r="C7" s="18" t="s">
        <v>21</v>
      </c>
      <c r="D7" s="13"/>
      <c r="E7" s="14">
        <v>5</v>
      </c>
      <c r="F7" s="14">
        <v>5</v>
      </c>
      <c r="G7" s="14">
        <v>5</v>
      </c>
      <c r="H7" s="14">
        <v>5</v>
      </c>
      <c r="I7" s="16">
        <v>33</v>
      </c>
      <c r="J7" s="15">
        <f t="shared" ref="J7:J31" si="0">I7/5</f>
        <v>6.6</v>
      </c>
      <c r="K7" s="26">
        <v>46</v>
      </c>
      <c r="L7" s="17">
        <f t="shared" ref="L7:L31" si="1">K7/5</f>
        <v>9.1999999999999993</v>
      </c>
      <c r="M7" s="14"/>
      <c r="N7" s="17">
        <f t="shared" ref="N7:N31" si="2">E7+F7+G7+H7+J7+L7+M7</f>
        <v>35.799999999999997</v>
      </c>
    </row>
    <row r="8" spans="1:14" ht="15.75" x14ac:dyDescent="0.25">
      <c r="A8" s="12">
        <v>3</v>
      </c>
      <c r="B8" s="18">
        <v>23750091</v>
      </c>
      <c r="C8" s="18" t="s">
        <v>22</v>
      </c>
      <c r="D8" s="13"/>
      <c r="E8" s="14">
        <v>5</v>
      </c>
      <c r="F8" s="14">
        <v>5</v>
      </c>
      <c r="G8" s="14">
        <v>5</v>
      </c>
      <c r="H8" s="14">
        <v>5</v>
      </c>
      <c r="I8" s="16">
        <v>33</v>
      </c>
      <c r="J8" s="15">
        <f t="shared" si="0"/>
        <v>6.6</v>
      </c>
      <c r="K8" s="26">
        <v>62</v>
      </c>
      <c r="L8" s="17">
        <f t="shared" si="1"/>
        <v>12.4</v>
      </c>
      <c r="M8" s="14"/>
      <c r="N8" s="17">
        <f t="shared" si="2"/>
        <v>39</v>
      </c>
    </row>
    <row r="9" spans="1:14" ht="15.75" x14ac:dyDescent="0.25">
      <c r="A9" s="12">
        <v>4</v>
      </c>
      <c r="B9" s="18">
        <v>23750092</v>
      </c>
      <c r="C9" s="18" t="s">
        <v>23</v>
      </c>
      <c r="D9" s="13"/>
      <c r="E9" s="14">
        <v>5</v>
      </c>
      <c r="F9" s="14">
        <v>5</v>
      </c>
      <c r="G9" s="14">
        <v>5</v>
      </c>
      <c r="H9" s="14">
        <v>5</v>
      </c>
      <c r="I9" s="16">
        <v>31</v>
      </c>
      <c r="J9" s="15">
        <f t="shared" si="0"/>
        <v>6.2</v>
      </c>
      <c r="K9" s="26">
        <v>58</v>
      </c>
      <c r="L9" s="17">
        <f t="shared" si="1"/>
        <v>11.6</v>
      </c>
      <c r="M9" s="14"/>
      <c r="N9" s="17">
        <f t="shared" si="2"/>
        <v>37.799999999999997</v>
      </c>
    </row>
    <row r="10" spans="1:14" ht="15.75" x14ac:dyDescent="0.25">
      <c r="A10" s="12">
        <v>5</v>
      </c>
      <c r="B10" s="18">
        <v>23750093</v>
      </c>
      <c r="C10" s="18" t="s">
        <v>24</v>
      </c>
      <c r="D10" s="13"/>
      <c r="E10" s="14">
        <v>5</v>
      </c>
      <c r="F10" s="14">
        <v>5</v>
      </c>
      <c r="G10" s="14">
        <v>5</v>
      </c>
      <c r="H10" s="14">
        <v>5</v>
      </c>
      <c r="I10" s="16">
        <v>21</v>
      </c>
      <c r="J10" s="15">
        <f t="shared" si="0"/>
        <v>4.2</v>
      </c>
      <c r="K10" s="26">
        <v>48</v>
      </c>
      <c r="L10" s="17">
        <f t="shared" si="1"/>
        <v>9.6</v>
      </c>
      <c r="M10" s="14"/>
      <c r="N10" s="17">
        <f t="shared" si="2"/>
        <v>33.799999999999997</v>
      </c>
    </row>
    <row r="11" spans="1:14" ht="15.75" x14ac:dyDescent="0.25">
      <c r="A11" s="12">
        <v>6</v>
      </c>
      <c r="B11" s="18">
        <v>23750094</v>
      </c>
      <c r="C11" s="18" t="s">
        <v>25</v>
      </c>
      <c r="D11" s="13"/>
      <c r="E11" s="14">
        <v>5</v>
      </c>
      <c r="F11" s="14">
        <v>5</v>
      </c>
      <c r="G11" s="14">
        <v>5</v>
      </c>
      <c r="H11" s="14">
        <v>5</v>
      </c>
      <c r="I11" s="16">
        <v>17</v>
      </c>
      <c r="J11" s="15">
        <f t="shared" si="0"/>
        <v>3.4</v>
      </c>
      <c r="K11" s="26">
        <v>30</v>
      </c>
      <c r="L11" s="17">
        <f t="shared" si="1"/>
        <v>6</v>
      </c>
      <c r="M11" s="14"/>
      <c r="N11" s="17">
        <f t="shared" si="2"/>
        <v>29.4</v>
      </c>
    </row>
    <row r="12" spans="1:14" ht="15.75" x14ac:dyDescent="0.25">
      <c r="A12" s="12">
        <v>7</v>
      </c>
      <c r="B12" s="18">
        <v>23750095</v>
      </c>
      <c r="C12" s="18" t="s">
        <v>26</v>
      </c>
      <c r="D12" s="13"/>
      <c r="E12" s="14">
        <v>5</v>
      </c>
      <c r="F12" s="14">
        <v>5</v>
      </c>
      <c r="G12" s="14">
        <v>5</v>
      </c>
      <c r="H12" s="14">
        <v>5</v>
      </c>
      <c r="I12" s="16">
        <v>19</v>
      </c>
      <c r="J12" s="15">
        <f t="shared" si="0"/>
        <v>3.8</v>
      </c>
      <c r="K12" s="26">
        <v>20</v>
      </c>
      <c r="L12" s="17">
        <f t="shared" si="1"/>
        <v>4</v>
      </c>
      <c r="M12" s="14"/>
      <c r="N12" s="17">
        <f t="shared" si="2"/>
        <v>27.8</v>
      </c>
    </row>
    <row r="13" spans="1:14" ht="15.75" x14ac:dyDescent="0.25">
      <c r="A13" s="12">
        <v>8</v>
      </c>
      <c r="B13" s="18">
        <v>23750096</v>
      </c>
      <c r="C13" s="18" t="s">
        <v>27</v>
      </c>
      <c r="D13" s="13"/>
      <c r="E13" s="14">
        <v>5</v>
      </c>
      <c r="F13" s="14">
        <v>5</v>
      </c>
      <c r="G13" s="14">
        <v>5</v>
      </c>
      <c r="H13" s="14">
        <v>5</v>
      </c>
      <c r="I13" s="16">
        <v>21</v>
      </c>
      <c r="J13" s="15">
        <f t="shared" si="0"/>
        <v>4.2</v>
      </c>
      <c r="K13" s="26">
        <v>23</v>
      </c>
      <c r="L13" s="17">
        <f t="shared" si="1"/>
        <v>4.5999999999999996</v>
      </c>
      <c r="M13" s="14"/>
      <c r="N13" s="17">
        <f t="shared" si="2"/>
        <v>28.799999999999997</v>
      </c>
    </row>
    <row r="14" spans="1:14" ht="15.75" x14ac:dyDescent="0.25">
      <c r="A14" s="12">
        <v>9</v>
      </c>
      <c r="B14" s="18">
        <v>23750097</v>
      </c>
      <c r="C14" s="18" t="s">
        <v>28</v>
      </c>
      <c r="D14" s="13"/>
      <c r="E14" s="14">
        <v>5</v>
      </c>
      <c r="F14" s="14">
        <v>5</v>
      </c>
      <c r="G14" s="14">
        <v>5</v>
      </c>
      <c r="H14" s="14">
        <v>5</v>
      </c>
      <c r="I14" s="16">
        <v>23</v>
      </c>
      <c r="J14" s="15">
        <f t="shared" si="0"/>
        <v>4.5999999999999996</v>
      </c>
      <c r="K14" s="26">
        <v>42</v>
      </c>
      <c r="L14" s="17">
        <f t="shared" si="1"/>
        <v>8.4</v>
      </c>
      <c r="M14" s="14"/>
      <c r="N14" s="17">
        <f t="shared" si="2"/>
        <v>33</v>
      </c>
    </row>
    <row r="15" spans="1:14" ht="15.75" x14ac:dyDescent="0.25">
      <c r="A15" s="12">
        <v>10</v>
      </c>
      <c r="B15" s="18">
        <v>23750098</v>
      </c>
      <c r="C15" s="18" t="s">
        <v>29</v>
      </c>
      <c r="D15" s="13"/>
      <c r="E15" s="14">
        <v>5</v>
      </c>
      <c r="F15" s="14">
        <v>5</v>
      </c>
      <c r="G15" s="14">
        <v>5</v>
      </c>
      <c r="H15" s="14">
        <v>5</v>
      </c>
      <c r="I15" s="16">
        <v>19</v>
      </c>
      <c r="J15" s="15">
        <f t="shared" si="0"/>
        <v>3.8</v>
      </c>
      <c r="K15" s="26">
        <v>39</v>
      </c>
      <c r="L15" s="17">
        <f t="shared" si="1"/>
        <v>7.8</v>
      </c>
      <c r="M15" s="14"/>
      <c r="N15" s="17">
        <f t="shared" si="2"/>
        <v>31.6</v>
      </c>
    </row>
    <row r="16" spans="1:14" ht="15.75" x14ac:dyDescent="0.25">
      <c r="A16" s="12">
        <v>11</v>
      </c>
      <c r="B16" s="18">
        <v>23750099</v>
      </c>
      <c r="C16" s="18" t="s">
        <v>30</v>
      </c>
      <c r="D16" s="13"/>
      <c r="E16" s="14">
        <v>5</v>
      </c>
      <c r="F16" s="14">
        <v>5</v>
      </c>
      <c r="G16" s="14">
        <v>5</v>
      </c>
      <c r="H16" s="14">
        <v>5</v>
      </c>
      <c r="I16" s="16">
        <v>16</v>
      </c>
      <c r="J16" s="15">
        <f t="shared" si="0"/>
        <v>3.2</v>
      </c>
      <c r="K16" s="26">
        <v>13</v>
      </c>
      <c r="L16" s="17">
        <f t="shared" si="1"/>
        <v>2.6</v>
      </c>
      <c r="M16" s="14"/>
      <c r="N16" s="17">
        <f t="shared" si="2"/>
        <v>25.8</v>
      </c>
    </row>
    <row r="17" spans="1:14" ht="15.75" x14ac:dyDescent="0.25">
      <c r="A17" s="12">
        <v>12</v>
      </c>
      <c r="B17" s="18">
        <v>23750100</v>
      </c>
      <c r="C17" s="18" t="s">
        <v>31</v>
      </c>
      <c r="D17" s="13"/>
      <c r="E17" s="14">
        <v>5</v>
      </c>
      <c r="F17" s="14">
        <v>5</v>
      </c>
      <c r="G17" s="14">
        <v>5</v>
      </c>
      <c r="H17" s="14">
        <v>5</v>
      </c>
      <c r="I17" s="16">
        <v>40</v>
      </c>
      <c r="J17" s="15">
        <f t="shared" si="0"/>
        <v>8</v>
      </c>
      <c r="K17" s="26">
        <v>71</v>
      </c>
      <c r="L17" s="17">
        <f t="shared" si="1"/>
        <v>14.2</v>
      </c>
      <c r="M17" s="14"/>
      <c r="N17" s="17">
        <f t="shared" si="2"/>
        <v>42.2</v>
      </c>
    </row>
    <row r="18" spans="1:14" ht="15.75" x14ac:dyDescent="0.25">
      <c r="A18" s="12">
        <v>13</v>
      </c>
      <c r="B18" s="18">
        <v>23750101</v>
      </c>
      <c r="C18" s="18" t="s">
        <v>32</v>
      </c>
      <c r="D18" s="13"/>
      <c r="E18" s="14">
        <v>5</v>
      </c>
      <c r="F18" s="14">
        <v>5</v>
      </c>
      <c r="G18" s="14">
        <v>5</v>
      </c>
      <c r="H18" s="14">
        <v>5</v>
      </c>
      <c r="I18" s="16">
        <v>38</v>
      </c>
      <c r="J18" s="15">
        <f t="shared" si="0"/>
        <v>7.6</v>
      </c>
      <c r="K18" s="26">
        <v>67</v>
      </c>
      <c r="L18" s="17">
        <f t="shared" si="1"/>
        <v>13.4</v>
      </c>
      <c r="M18" s="14"/>
      <c r="N18" s="17">
        <f t="shared" si="2"/>
        <v>41</v>
      </c>
    </row>
    <row r="19" spans="1:14" ht="15.75" x14ac:dyDescent="0.25">
      <c r="A19" s="12">
        <v>14</v>
      </c>
      <c r="B19" s="18">
        <v>23750102</v>
      </c>
      <c r="C19" s="18" t="s">
        <v>33</v>
      </c>
      <c r="D19" s="13"/>
      <c r="E19" s="14">
        <v>5</v>
      </c>
      <c r="F19" s="14">
        <v>5</v>
      </c>
      <c r="G19" s="14">
        <v>5</v>
      </c>
      <c r="H19" s="14">
        <v>5</v>
      </c>
      <c r="I19" s="16">
        <v>36</v>
      </c>
      <c r="J19" s="15">
        <f t="shared" si="0"/>
        <v>7.2</v>
      </c>
      <c r="K19" s="26">
        <v>64</v>
      </c>
      <c r="L19" s="17">
        <f t="shared" si="1"/>
        <v>12.8</v>
      </c>
      <c r="M19" s="14"/>
      <c r="N19" s="17">
        <f t="shared" si="2"/>
        <v>40</v>
      </c>
    </row>
    <row r="20" spans="1:14" ht="15.75" x14ac:dyDescent="0.25">
      <c r="A20" s="12">
        <v>15</v>
      </c>
      <c r="B20" s="18">
        <v>23750103</v>
      </c>
      <c r="C20" s="18" t="s">
        <v>34</v>
      </c>
      <c r="D20" s="13"/>
      <c r="E20" s="14">
        <v>5</v>
      </c>
      <c r="F20" s="14">
        <v>5</v>
      </c>
      <c r="G20" s="14">
        <v>5</v>
      </c>
      <c r="H20" s="14">
        <v>5</v>
      </c>
      <c r="I20" s="16">
        <v>23</v>
      </c>
      <c r="J20" s="15">
        <f t="shared" si="0"/>
        <v>4.5999999999999996</v>
      </c>
      <c r="K20" s="26">
        <v>66</v>
      </c>
      <c r="L20" s="17">
        <f t="shared" si="1"/>
        <v>13.2</v>
      </c>
      <c r="M20" s="14"/>
      <c r="N20" s="17">
        <f t="shared" si="2"/>
        <v>37.799999999999997</v>
      </c>
    </row>
    <row r="21" spans="1:14" ht="15.75" x14ac:dyDescent="0.25">
      <c r="A21" s="12">
        <v>16</v>
      </c>
      <c r="B21" s="18">
        <v>23750104</v>
      </c>
      <c r="C21" s="18" t="s">
        <v>35</v>
      </c>
      <c r="D21" s="13"/>
      <c r="E21" s="14">
        <v>5</v>
      </c>
      <c r="F21" s="14">
        <v>5</v>
      </c>
      <c r="G21" s="14">
        <v>5</v>
      </c>
      <c r="H21" s="14">
        <v>5</v>
      </c>
      <c r="I21" s="16">
        <v>41</v>
      </c>
      <c r="J21" s="15">
        <f t="shared" si="0"/>
        <v>8.1999999999999993</v>
      </c>
      <c r="K21" s="26">
        <v>86</v>
      </c>
      <c r="L21" s="17">
        <f t="shared" si="1"/>
        <v>17.2</v>
      </c>
      <c r="M21" s="14"/>
      <c r="N21" s="17">
        <f t="shared" si="2"/>
        <v>45.4</v>
      </c>
    </row>
    <row r="22" spans="1:14" ht="15.75" x14ac:dyDescent="0.25">
      <c r="A22" s="12">
        <v>17</v>
      </c>
      <c r="B22" s="18">
        <v>23750105</v>
      </c>
      <c r="C22" s="18" t="s">
        <v>36</v>
      </c>
      <c r="D22" s="13"/>
      <c r="E22" s="14">
        <v>5</v>
      </c>
      <c r="F22" s="14">
        <v>5</v>
      </c>
      <c r="G22" s="14">
        <v>5</v>
      </c>
      <c r="H22" s="14">
        <v>5</v>
      </c>
      <c r="I22" s="16">
        <v>35</v>
      </c>
      <c r="J22" s="15">
        <f t="shared" si="0"/>
        <v>7</v>
      </c>
      <c r="K22" s="26">
        <v>72</v>
      </c>
      <c r="L22" s="17">
        <f t="shared" si="1"/>
        <v>14.4</v>
      </c>
      <c r="M22" s="14"/>
      <c r="N22" s="17">
        <f t="shared" si="2"/>
        <v>41.4</v>
      </c>
    </row>
    <row r="23" spans="1:14" ht="15.75" x14ac:dyDescent="0.25">
      <c r="A23" s="12">
        <v>18</v>
      </c>
      <c r="B23" s="18">
        <v>23750106</v>
      </c>
      <c r="C23" s="18" t="s">
        <v>37</v>
      </c>
      <c r="D23" s="13"/>
      <c r="E23" s="14">
        <v>5</v>
      </c>
      <c r="F23" s="14">
        <v>5</v>
      </c>
      <c r="G23" s="14">
        <v>5</v>
      </c>
      <c r="H23" s="14">
        <v>5</v>
      </c>
      <c r="I23" s="16">
        <v>40</v>
      </c>
      <c r="J23" s="15">
        <f t="shared" si="0"/>
        <v>8</v>
      </c>
      <c r="K23" s="26">
        <v>93</v>
      </c>
      <c r="L23" s="17">
        <f t="shared" si="1"/>
        <v>18.600000000000001</v>
      </c>
      <c r="M23" s="14"/>
      <c r="N23" s="17">
        <f t="shared" si="2"/>
        <v>46.6</v>
      </c>
    </row>
    <row r="24" spans="1:14" ht="15.75" x14ac:dyDescent="0.25">
      <c r="A24" s="12">
        <v>19</v>
      </c>
      <c r="B24" s="18">
        <v>23750107</v>
      </c>
      <c r="C24" s="18" t="s">
        <v>38</v>
      </c>
      <c r="D24" s="13"/>
      <c r="E24" s="14">
        <v>5</v>
      </c>
      <c r="F24" s="14">
        <v>5</v>
      </c>
      <c r="G24" s="14">
        <v>5</v>
      </c>
      <c r="H24" s="14">
        <v>5</v>
      </c>
      <c r="I24" s="16">
        <v>33</v>
      </c>
      <c r="J24" s="15">
        <f t="shared" si="0"/>
        <v>6.6</v>
      </c>
      <c r="K24" s="26">
        <v>65</v>
      </c>
      <c r="L24" s="17">
        <f t="shared" si="1"/>
        <v>13</v>
      </c>
      <c r="M24" s="14"/>
      <c r="N24" s="17">
        <f t="shared" si="2"/>
        <v>39.6</v>
      </c>
    </row>
    <row r="25" spans="1:14" ht="15.75" x14ac:dyDescent="0.25">
      <c r="A25" s="12">
        <v>20</v>
      </c>
      <c r="B25" s="18">
        <v>23750108</v>
      </c>
      <c r="C25" s="18" t="s">
        <v>39</v>
      </c>
      <c r="D25" s="18"/>
      <c r="E25" s="14">
        <v>5</v>
      </c>
      <c r="F25" s="14">
        <v>5</v>
      </c>
      <c r="G25" s="14">
        <v>5</v>
      </c>
      <c r="H25" s="14">
        <v>5</v>
      </c>
      <c r="I25" s="16">
        <v>33</v>
      </c>
      <c r="J25" s="15">
        <f t="shared" si="0"/>
        <v>6.6</v>
      </c>
      <c r="K25" s="27">
        <v>30</v>
      </c>
      <c r="L25" s="17">
        <f t="shared" si="1"/>
        <v>6</v>
      </c>
      <c r="M25" s="14"/>
      <c r="N25" s="17">
        <f t="shared" si="2"/>
        <v>32.6</v>
      </c>
    </row>
    <row r="26" spans="1:14" ht="15.75" x14ac:dyDescent="0.25">
      <c r="A26" s="12">
        <v>21</v>
      </c>
      <c r="B26" s="18">
        <v>23750109</v>
      </c>
      <c r="C26" s="18" t="s">
        <v>40</v>
      </c>
      <c r="D26" s="18"/>
      <c r="E26" s="14">
        <v>5</v>
      </c>
      <c r="F26" s="14">
        <v>5</v>
      </c>
      <c r="G26" s="14">
        <v>5</v>
      </c>
      <c r="H26" s="14">
        <v>5</v>
      </c>
      <c r="I26" s="16">
        <v>23</v>
      </c>
      <c r="J26" s="15">
        <f t="shared" si="0"/>
        <v>4.5999999999999996</v>
      </c>
      <c r="K26" s="27">
        <v>29</v>
      </c>
      <c r="L26" s="17">
        <f t="shared" si="1"/>
        <v>5.8</v>
      </c>
      <c r="M26" s="14"/>
      <c r="N26" s="17">
        <f t="shared" si="2"/>
        <v>30.400000000000002</v>
      </c>
    </row>
    <row r="27" spans="1:14" ht="15.75" x14ac:dyDescent="0.25">
      <c r="A27" s="12">
        <v>22</v>
      </c>
      <c r="B27" s="21">
        <v>23750110</v>
      </c>
      <c r="C27" s="21" t="s">
        <v>41</v>
      </c>
      <c r="D27" s="18"/>
      <c r="E27" s="14">
        <v>5</v>
      </c>
      <c r="F27" s="14">
        <v>5</v>
      </c>
      <c r="G27" s="14">
        <v>5</v>
      </c>
      <c r="H27" s="14">
        <v>5</v>
      </c>
      <c r="I27" s="16">
        <v>18</v>
      </c>
      <c r="J27" s="15">
        <f t="shared" si="0"/>
        <v>3.6</v>
      </c>
      <c r="K27" s="27">
        <v>17</v>
      </c>
      <c r="L27" s="17">
        <f t="shared" si="1"/>
        <v>3.4</v>
      </c>
      <c r="M27" s="14"/>
      <c r="N27" s="17">
        <f t="shared" si="2"/>
        <v>27</v>
      </c>
    </row>
    <row r="28" spans="1:14" ht="15.75" x14ac:dyDescent="0.25">
      <c r="A28" s="12">
        <v>23</v>
      </c>
      <c r="B28" s="18">
        <v>23750111</v>
      </c>
      <c r="C28" s="18" t="s">
        <v>42</v>
      </c>
      <c r="D28" s="18"/>
      <c r="E28" s="14">
        <v>5</v>
      </c>
      <c r="F28" s="14">
        <v>5</v>
      </c>
      <c r="G28" s="14">
        <v>5</v>
      </c>
      <c r="H28" s="14">
        <v>5</v>
      </c>
      <c r="I28" s="16">
        <v>25</v>
      </c>
      <c r="J28" s="15">
        <f t="shared" si="0"/>
        <v>5</v>
      </c>
      <c r="K28" s="27">
        <v>57</v>
      </c>
      <c r="L28" s="17">
        <f t="shared" si="1"/>
        <v>11.4</v>
      </c>
      <c r="M28" s="14"/>
      <c r="N28" s="17">
        <f t="shared" si="2"/>
        <v>36.4</v>
      </c>
    </row>
    <row r="29" spans="1:14" ht="15.75" x14ac:dyDescent="0.25">
      <c r="A29" s="12">
        <v>24</v>
      </c>
      <c r="B29" s="22">
        <v>23750112</v>
      </c>
      <c r="C29" s="22" t="s">
        <v>43</v>
      </c>
      <c r="D29" s="18"/>
      <c r="E29" s="14">
        <v>5</v>
      </c>
      <c r="F29" s="14">
        <v>5</v>
      </c>
      <c r="G29" s="14">
        <v>5</v>
      </c>
      <c r="H29" s="14">
        <v>5</v>
      </c>
      <c r="I29" s="16">
        <v>18</v>
      </c>
      <c r="J29" s="15">
        <f t="shared" si="0"/>
        <v>3.6</v>
      </c>
      <c r="K29" s="27">
        <v>32</v>
      </c>
      <c r="L29" s="17">
        <f t="shared" si="1"/>
        <v>6.4</v>
      </c>
      <c r="M29" s="14"/>
      <c r="N29" s="17">
        <f t="shared" si="2"/>
        <v>30</v>
      </c>
    </row>
    <row r="30" spans="1:14" ht="15.75" x14ac:dyDescent="0.25">
      <c r="A30" s="12">
        <v>25</v>
      </c>
      <c r="B30" s="18">
        <v>23750113</v>
      </c>
      <c r="C30" s="18" t="s">
        <v>44</v>
      </c>
      <c r="D30" s="19"/>
      <c r="E30" s="14">
        <v>5</v>
      </c>
      <c r="F30" s="14">
        <v>5</v>
      </c>
      <c r="G30" s="14">
        <v>5</v>
      </c>
      <c r="H30" s="14">
        <v>5</v>
      </c>
      <c r="I30" s="16">
        <v>3</v>
      </c>
      <c r="J30" s="15">
        <f t="shared" si="0"/>
        <v>0.6</v>
      </c>
      <c r="K30" s="27">
        <v>29</v>
      </c>
      <c r="L30" s="17">
        <f t="shared" si="1"/>
        <v>5.8</v>
      </c>
      <c r="M30" s="14"/>
      <c r="N30" s="17">
        <f t="shared" si="2"/>
        <v>26.400000000000002</v>
      </c>
    </row>
    <row r="31" spans="1:14" ht="15.75" x14ac:dyDescent="0.25">
      <c r="A31" s="14">
        <v>26</v>
      </c>
      <c r="B31" s="18">
        <v>23750114</v>
      </c>
      <c r="C31" s="18" t="s">
        <v>45</v>
      </c>
      <c r="D31" s="19"/>
      <c r="E31" s="14">
        <v>5</v>
      </c>
      <c r="F31" s="14">
        <v>5</v>
      </c>
      <c r="G31" s="14">
        <v>5</v>
      </c>
      <c r="H31" s="14">
        <v>5</v>
      </c>
      <c r="I31" s="16">
        <v>45</v>
      </c>
      <c r="J31" s="15">
        <f t="shared" si="0"/>
        <v>9</v>
      </c>
      <c r="K31" s="27">
        <v>52</v>
      </c>
      <c r="L31" s="17">
        <f t="shared" si="1"/>
        <v>10.4</v>
      </c>
      <c r="M31" s="14"/>
      <c r="N31" s="17">
        <f t="shared" si="2"/>
        <v>39.4</v>
      </c>
    </row>
    <row r="32" spans="1:14" x14ac:dyDescent="0.25">
      <c r="I32" s="25"/>
    </row>
    <row r="33" spans="9:9" x14ac:dyDescent="0.25">
      <c r="I33" s="25"/>
    </row>
  </sheetData>
  <mergeCells count="5">
    <mergeCell ref="A1:N1"/>
    <mergeCell ref="A2:N2"/>
    <mergeCell ref="A3:N3"/>
    <mergeCell ref="A4:B4"/>
    <mergeCell ref="C4:E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"/>
  <sheetViews>
    <sheetView tabSelected="1" workbookViewId="0">
      <selection activeCell="O9" sqref="O9"/>
    </sheetView>
  </sheetViews>
  <sheetFormatPr defaultRowHeight="15" x14ac:dyDescent="0.25"/>
  <cols>
    <col min="2" max="2" width="13.5703125" customWidth="1"/>
    <col min="3" max="3" width="30.85546875" customWidth="1"/>
    <col min="8" max="8" width="13.28515625" customWidth="1"/>
    <col min="9" max="9" width="14.7109375" customWidth="1"/>
    <col min="10" max="10" width="13.5703125" customWidth="1"/>
    <col min="11" max="11" width="13.42578125" customWidth="1"/>
  </cols>
  <sheetData>
    <row r="1" spans="1:13" ht="16.5" x14ac:dyDescent="0.2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</row>
    <row r="2" spans="1:13" x14ac:dyDescent="0.25">
      <c r="A2" s="30" t="s">
        <v>1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</row>
    <row r="3" spans="1:13" ht="19.5" x14ac:dyDescent="0.3">
      <c r="A3" s="31" t="s">
        <v>19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</row>
    <row r="4" spans="1:13" ht="16.5" thickBot="1" x14ac:dyDescent="0.3">
      <c r="A4" s="32" t="s">
        <v>15</v>
      </c>
      <c r="B4" s="33"/>
      <c r="C4" s="34" t="s">
        <v>17</v>
      </c>
      <c r="D4" s="35"/>
      <c r="E4" s="35"/>
      <c r="F4" s="1" t="s">
        <v>51</v>
      </c>
      <c r="G4" s="2"/>
      <c r="H4" s="2"/>
      <c r="I4" s="2"/>
      <c r="J4" s="2"/>
      <c r="K4" s="4" t="s">
        <v>2</v>
      </c>
      <c r="L4" s="2"/>
      <c r="M4" s="2"/>
    </row>
    <row r="5" spans="1:13" ht="33.75" x14ac:dyDescent="0.25">
      <c r="A5" s="5" t="s">
        <v>3</v>
      </c>
      <c r="B5" s="6" t="s">
        <v>4</v>
      </c>
      <c r="C5" s="7" t="s">
        <v>5</v>
      </c>
      <c r="D5" s="8" t="s">
        <v>54</v>
      </c>
      <c r="E5" s="8" t="s">
        <v>55</v>
      </c>
      <c r="F5" s="8" t="s">
        <v>56</v>
      </c>
      <c r="G5" s="8" t="s">
        <v>57</v>
      </c>
      <c r="H5" s="36" t="s">
        <v>60</v>
      </c>
      <c r="I5" s="8" t="s">
        <v>58</v>
      </c>
      <c r="J5" s="10" t="s">
        <v>61</v>
      </c>
      <c r="K5" s="8" t="s">
        <v>59</v>
      </c>
      <c r="L5" s="8" t="s">
        <v>12</v>
      </c>
      <c r="M5" s="8" t="s">
        <v>13</v>
      </c>
    </row>
    <row r="6" spans="1:13" ht="15.75" x14ac:dyDescent="0.25">
      <c r="A6" s="12">
        <v>1</v>
      </c>
      <c r="B6" s="18">
        <v>23750089</v>
      </c>
      <c r="C6" s="18" t="s">
        <v>20</v>
      </c>
      <c r="D6" s="13">
        <v>5</v>
      </c>
      <c r="E6" s="14">
        <v>5</v>
      </c>
      <c r="F6" s="14">
        <v>5</v>
      </c>
      <c r="G6" s="14">
        <v>5</v>
      </c>
      <c r="H6" s="16">
        <v>38</v>
      </c>
      <c r="I6" s="15">
        <f>H6*2*0.1</f>
        <v>7.6000000000000005</v>
      </c>
      <c r="J6" s="23">
        <v>53</v>
      </c>
      <c r="K6" s="17">
        <f>J6*0.2</f>
        <v>10.600000000000001</v>
      </c>
      <c r="L6" s="14">
        <v>7</v>
      </c>
      <c r="M6" s="17">
        <f>K6+I6+G6+F6+E6+D6+L6</f>
        <v>45.2</v>
      </c>
    </row>
    <row r="7" spans="1:13" ht="15.75" x14ac:dyDescent="0.25">
      <c r="A7" s="12">
        <v>2</v>
      </c>
      <c r="B7" s="18">
        <v>23750090</v>
      </c>
      <c r="C7" s="18" t="s">
        <v>21</v>
      </c>
      <c r="D7" s="13">
        <v>5</v>
      </c>
      <c r="E7" s="14">
        <v>5</v>
      </c>
      <c r="F7" s="14">
        <v>5</v>
      </c>
      <c r="G7" s="14">
        <v>5</v>
      </c>
      <c r="H7" s="16">
        <v>39</v>
      </c>
      <c r="I7" s="15">
        <f t="shared" ref="I7:I31" si="0">H7*2*0.1</f>
        <v>7.8000000000000007</v>
      </c>
      <c r="J7" s="23">
        <v>54</v>
      </c>
      <c r="K7" s="17">
        <f t="shared" ref="K7:K31" si="1">J7*0.2</f>
        <v>10.8</v>
      </c>
      <c r="L7" s="14">
        <v>7</v>
      </c>
      <c r="M7" s="17">
        <f t="shared" ref="M7:M31" si="2">K7+I7+G7+F7+E7+D7+L7</f>
        <v>45.6</v>
      </c>
    </row>
    <row r="8" spans="1:13" ht="15.75" x14ac:dyDescent="0.25">
      <c r="A8" s="12">
        <v>3</v>
      </c>
      <c r="B8" s="18">
        <v>23750091</v>
      </c>
      <c r="C8" s="18" t="s">
        <v>22</v>
      </c>
      <c r="D8" s="13">
        <v>5</v>
      </c>
      <c r="E8" s="14">
        <v>5</v>
      </c>
      <c r="F8" s="14">
        <v>5</v>
      </c>
      <c r="G8" s="14">
        <v>5</v>
      </c>
      <c r="H8" s="16">
        <v>39</v>
      </c>
      <c r="I8" s="15">
        <f t="shared" si="0"/>
        <v>7.8000000000000007</v>
      </c>
      <c r="J8" s="23">
        <v>71</v>
      </c>
      <c r="K8" s="17">
        <f t="shared" si="1"/>
        <v>14.200000000000001</v>
      </c>
      <c r="L8" s="14">
        <v>6</v>
      </c>
      <c r="M8" s="17">
        <f t="shared" si="2"/>
        <v>48</v>
      </c>
    </row>
    <row r="9" spans="1:13" ht="15.75" x14ac:dyDescent="0.25">
      <c r="A9" s="12">
        <v>4</v>
      </c>
      <c r="B9" s="18">
        <v>23750092</v>
      </c>
      <c r="C9" s="18" t="s">
        <v>23</v>
      </c>
      <c r="D9" s="13">
        <v>5</v>
      </c>
      <c r="E9" s="14">
        <v>5</v>
      </c>
      <c r="F9" s="14">
        <v>5</v>
      </c>
      <c r="G9" s="14">
        <v>5</v>
      </c>
      <c r="H9" s="16">
        <v>35</v>
      </c>
      <c r="I9" s="15">
        <f t="shared" si="0"/>
        <v>7</v>
      </c>
      <c r="J9" s="23">
        <v>68</v>
      </c>
      <c r="K9" s="17">
        <f t="shared" si="1"/>
        <v>13.600000000000001</v>
      </c>
      <c r="L9" s="14">
        <v>6</v>
      </c>
      <c r="M9" s="17">
        <f t="shared" si="2"/>
        <v>46.6</v>
      </c>
    </row>
    <row r="10" spans="1:13" ht="15.75" x14ac:dyDescent="0.25">
      <c r="A10" s="12">
        <v>5</v>
      </c>
      <c r="B10" s="18">
        <v>23750093</v>
      </c>
      <c r="C10" s="18" t="s">
        <v>24</v>
      </c>
      <c r="D10" s="13">
        <v>5</v>
      </c>
      <c r="E10" s="14">
        <v>5</v>
      </c>
      <c r="F10" s="14">
        <v>5</v>
      </c>
      <c r="G10" s="14">
        <v>5</v>
      </c>
      <c r="H10" s="16">
        <v>36</v>
      </c>
      <c r="I10" s="15">
        <f t="shared" si="0"/>
        <v>7.2</v>
      </c>
      <c r="J10" s="23">
        <v>64</v>
      </c>
      <c r="K10" s="17">
        <f t="shared" si="1"/>
        <v>12.8</v>
      </c>
      <c r="L10" s="14">
        <v>7</v>
      </c>
      <c r="M10" s="17">
        <f t="shared" si="2"/>
        <v>47</v>
      </c>
    </row>
    <row r="11" spans="1:13" ht="15.75" x14ac:dyDescent="0.25">
      <c r="A11" s="12">
        <v>6</v>
      </c>
      <c r="B11" s="18">
        <v>23750094</v>
      </c>
      <c r="C11" s="18" t="s">
        <v>25</v>
      </c>
      <c r="D11" s="13">
        <v>5</v>
      </c>
      <c r="E11" s="14">
        <v>5</v>
      </c>
      <c r="F11" s="14">
        <v>5</v>
      </c>
      <c r="G11" s="14">
        <v>5</v>
      </c>
      <c r="H11" s="16">
        <v>25</v>
      </c>
      <c r="I11" s="15">
        <f t="shared" si="0"/>
        <v>5</v>
      </c>
      <c r="J11" s="23">
        <v>23</v>
      </c>
      <c r="K11" s="17">
        <f t="shared" si="1"/>
        <v>4.6000000000000005</v>
      </c>
      <c r="L11" s="14">
        <v>8</v>
      </c>
      <c r="M11" s="17">
        <f t="shared" si="2"/>
        <v>37.6</v>
      </c>
    </row>
    <row r="12" spans="1:13" ht="15.75" x14ac:dyDescent="0.25">
      <c r="A12" s="12">
        <v>7</v>
      </c>
      <c r="B12" s="18">
        <v>23750095</v>
      </c>
      <c r="C12" s="18" t="s">
        <v>26</v>
      </c>
      <c r="D12" s="13">
        <v>5</v>
      </c>
      <c r="E12" s="14">
        <v>5</v>
      </c>
      <c r="F12" s="14">
        <v>5</v>
      </c>
      <c r="G12" s="14">
        <v>5</v>
      </c>
      <c r="H12" s="16">
        <v>28</v>
      </c>
      <c r="I12" s="15">
        <f t="shared" si="0"/>
        <v>5.6000000000000005</v>
      </c>
      <c r="J12" s="23">
        <v>34</v>
      </c>
      <c r="K12" s="17">
        <f t="shared" si="1"/>
        <v>6.8000000000000007</v>
      </c>
      <c r="L12" s="14">
        <v>8</v>
      </c>
      <c r="M12" s="17">
        <f t="shared" si="2"/>
        <v>40.400000000000006</v>
      </c>
    </row>
    <row r="13" spans="1:13" ht="15.75" x14ac:dyDescent="0.25">
      <c r="A13" s="12">
        <v>8</v>
      </c>
      <c r="B13" s="18">
        <v>23750096</v>
      </c>
      <c r="C13" s="18" t="s">
        <v>27</v>
      </c>
      <c r="D13" s="13">
        <v>5</v>
      </c>
      <c r="E13" s="14">
        <v>5</v>
      </c>
      <c r="F13" s="14">
        <v>5</v>
      </c>
      <c r="G13" s="14">
        <v>5</v>
      </c>
      <c r="H13" s="16">
        <v>27</v>
      </c>
      <c r="I13" s="15">
        <f t="shared" si="0"/>
        <v>5.4</v>
      </c>
      <c r="J13" s="23">
        <v>33</v>
      </c>
      <c r="K13" s="17">
        <f t="shared" si="1"/>
        <v>6.6000000000000005</v>
      </c>
      <c r="L13" s="14">
        <v>8</v>
      </c>
      <c r="M13" s="17">
        <f t="shared" si="2"/>
        <v>40</v>
      </c>
    </row>
    <row r="14" spans="1:13" ht="15.75" x14ac:dyDescent="0.25">
      <c r="A14" s="12">
        <v>9</v>
      </c>
      <c r="B14" s="18">
        <v>23750097</v>
      </c>
      <c r="C14" s="18" t="s">
        <v>28</v>
      </c>
      <c r="D14" s="13">
        <v>5</v>
      </c>
      <c r="E14" s="14">
        <v>5</v>
      </c>
      <c r="F14" s="14">
        <v>5</v>
      </c>
      <c r="G14" s="14">
        <v>5</v>
      </c>
      <c r="H14" s="16">
        <v>29</v>
      </c>
      <c r="I14" s="15">
        <f t="shared" si="0"/>
        <v>5.8000000000000007</v>
      </c>
      <c r="J14" s="23">
        <v>37</v>
      </c>
      <c r="K14" s="17">
        <f t="shared" si="1"/>
        <v>7.4</v>
      </c>
      <c r="L14" s="14">
        <v>10</v>
      </c>
      <c r="M14" s="17">
        <f t="shared" si="2"/>
        <v>43.2</v>
      </c>
    </row>
    <row r="15" spans="1:13" ht="15.75" x14ac:dyDescent="0.25">
      <c r="A15" s="12">
        <v>10</v>
      </c>
      <c r="B15" s="18">
        <v>23750098</v>
      </c>
      <c r="C15" s="18" t="s">
        <v>29</v>
      </c>
      <c r="D15" s="13">
        <v>5</v>
      </c>
      <c r="E15" s="14">
        <v>5</v>
      </c>
      <c r="F15" s="14">
        <v>5</v>
      </c>
      <c r="G15" s="14">
        <v>5</v>
      </c>
      <c r="H15" s="16">
        <v>21</v>
      </c>
      <c r="I15" s="15">
        <f t="shared" si="0"/>
        <v>4.2</v>
      </c>
      <c r="J15" s="23">
        <v>28</v>
      </c>
      <c r="K15" s="17">
        <f t="shared" si="1"/>
        <v>5.6000000000000005</v>
      </c>
      <c r="L15" s="14">
        <v>8</v>
      </c>
      <c r="M15" s="17">
        <f t="shared" si="2"/>
        <v>37.799999999999997</v>
      </c>
    </row>
    <row r="16" spans="1:13" ht="15.75" x14ac:dyDescent="0.25">
      <c r="A16" s="12">
        <v>11</v>
      </c>
      <c r="B16" s="18">
        <v>23750099</v>
      </c>
      <c r="C16" s="18" t="s">
        <v>30</v>
      </c>
      <c r="D16" s="13">
        <v>5</v>
      </c>
      <c r="E16" s="14">
        <v>5</v>
      </c>
      <c r="F16" s="14">
        <v>5</v>
      </c>
      <c r="G16" s="14">
        <v>5</v>
      </c>
      <c r="H16" s="16">
        <v>21</v>
      </c>
      <c r="I16" s="15">
        <f t="shared" si="0"/>
        <v>4.2</v>
      </c>
      <c r="J16" s="23">
        <v>8</v>
      </c>
      <c r="K16" s="17">
        <f t="shared" si="1"/>
        <v>1.6</v>
      </c>
      <c r="L16" s="14">
        <v>12</v>
      </c>
      <c r="M16" s="17">
        <f t="shared" si="2"/>
        <v>37.799999999999997</v>
      </c>
    </row>
    <row r="17" spans="1:13" ht="15.75" x14ac:dyDescent="0.25">
      <c r="A17" s="12">
        <v>12</v>
      </c>
      <c r="B17" s="18">
        <v>23750100</v>
      </c>
      <c r="C17" s="18" t="s">
        <v>31</v>
      </c>
      <c r="D17" s="13">
        <v>5</v>
      </c>
      <c r="E17" s="14">
        <v>5</v>
      </c>
      <c r="F17" s="14">
        <v>5</v>
      </c>
      <c r="G17" s="14">
        <v>5</v>
      </c>
      <c r="H17" s="16">
        <v>38</v>
      </c>
      <c r="I17" s="15">
        <f t="shared" si="0"/>
        <v>7.6000000000000005</v>
      </c>
      <c r="J17" s="23">
        <v>62</v>
      </c>
      <c r="K17" s="17">
        <f t="shared" si="1"/>
        <v>12.4</v>
      </c>
      <c r="L17" s="14">
        <v>7</v>
      </c>
      <c r="M17" s="17">
        <f t="shared" si="2"/>
        <v>47</v>
      </c>
    </row>
    <row r="18" spans="1:13" ht="15.75" x14ac:dyDescent="0.25">
      <c r="A18" s="12">
        <v>13</v>
      </c>
      <c r="B18" s="18">
        <v>23750101</v>
      </c>
      <c r="C18" s="18" t="s">
        <v>32</v>
      </c>
      <c r="D18" s="13">
        <v>5</v>
      </c>
      <c r="E18" s="14">
        <v>5</v>
      </c>
      <c r="F18" s="14">
        <v>5</v>
      </c>
      <c r="G18" s="14">
        <v>5</v>
      </c>
      <c r="H18" s="16">
        <v>38</v>
      </c>
      <c r="I18" s="15">
        <f t="shared" si="0"/>
        <v>7.6000000000000005</v>
      </c>
      <c r="J18" s="23">
        <v>70</v>
      </c>
      <c r="K18" s="17">
        <f t="shared" si="1"/>
        <v>14</v>
      </c>
      <c r="L18" s="14">
        <v>6</v>
      </c>
      <c r="M18" s="17">
        <f t="shared" si="2"/>
        <v>47.6</v>
      </c>
    </row>
    <row r="19" spans="1:13" ht="15.75" x14ac:dyDescent="0.25">
      <c r="A19" s="12">
        <v>14</v>
      </c>
      <c r="B19" s="18">
        <v>23750102</v>
      </c>
      <c r="C19" s="18" t="s">
        <v>33</v>
      </c>
      <c r="D19" s="13">
        <v>5</v>
      </c>
      <c r="E19" s="14">
        <v>5</v>
      </c>
      <c r="F19" s="14">
        <v>5</v>
      </c>
      <c r="G19" s="14">
        <v>5</v>
      </c>
      <c r="H19" s="16">
        <v>37</v>
      </c>
      <c r="I19" s="15">
        <f t="shared" si="0"/>
        <v>7.4</v>
      </c>
      <c r="J19" s="23">
        <v>60</v>
      </c>
      <c r="K19" s="17">
        <f t="shared" si="1"/>
        <v>12</v>
      </c>
      <c r="L19" s="14">
        <v>6</v>
      </c>
      <c r="M19" s="17">
        <f t="shared" si="2"/>
        <v>45.4</v>
      </c>
    </row>
    <row r="20" spans="1:13" ht="15.75" x14ac:dyDescent="0.25">
      <c r="A20" s="12">
        <v>15</v>
      </c>
      <c r="B20" s="18">
        <v>23750103</v>
      </c>
      <c r="C20" s="18" t="s">
        <v>34</v>
      </c>
      <c r="D20" s="13">
        <v>5</v>
      </c>
      <c r="E20" s="14">
        <v>5</v>
      </c>
      <c r="F20" s="14">
        <v>5</v>
      </c>
      <c r="G20" s="14">
        <v>5</v>
      </c>
      <c r="H20" s="16"/>
      <c r="I20" s="15"/>
      <c r="J20" s="23">
        <v>67</v>
      </c>
      <c r="K20" s="17">
        <f t="shared" si="1"/>
        <v>13.4</v>
      </c>
      <c r="L20" s="14">
        <v>7</v>
      </c>
      <c r="M20" s="17">
        <f t="shared" si="2"/>
        <v>40.4</v>
      </c>
    </row>
    <row r="21" spans="1:13" ht="15.75" x14ac:dyDescent="0.25">
      <c r="A21" s="12">
        <v>16</v>
      </c>
      <c r="B21" s="18">
        <v>23750104</v>
      </c>
      <c r="C21" s="18" t="s">
        <v>35</v>
      </c>
      <c r="D21" s="13">
        <v>5</v>
      </c>
      <c r="E21" s="14">
        <v>5</v>
      </c>
      <c r="F21" s="14">
        <v>5</v>
      </c>
      <c r="G21" s="14">
        <v>5</v>
      </c>
      <c r="H21" s="16">
        <v>38</v>
      </c>
      <c r="I21" s="15">
        <f t="shared" si="0"/>
        <v>7.6000000000000005</v>
      </c>
      <c r="J21" s="23">
        <v>68</v>
      </c>
      <c r="K21" s="17">
        <f t="shared" si="1"/>
        <v>13.600000000000001</v>
      </c>
      <c r="L21" s="14">
        <v>6</v>
      </c>
      <c r="M21" s="17">
        <f t="shared" si="2"/>
        <v>47.2</v>
      </c>
    </row>
    <row r="22" spans="1:13" ht="15.75" x14ac:dyDescent="0.25">
      <c r="A22" s="12">
        <v>17</v>
      </c>
      <c r="B22" s="18">
        <v>23750105</v>
      </c>
      <c r="C22" s="18" t="s">
        <v>36</v>
      </c>
      <c r="D22" s="13">
        <v>5</v>
      </c>
      <c r="E22" s="14">
        <v>5</v>
      </c>
      <c r="F22" s="14">
        <v>5</v>
      </c>
      <c r="G22" s="14">
        <v>5</v>
      </c>
      <c r="H22" s="16">
        <v>33</v>
      </c>
      <c r="I22" s="15">
        <f t="shared" si="0"/>
        <v>6.6000000000000005</v>
      </c>
      <c r="J22" s="23">
        <v>80</v>
      </c>
      <c r="K22" s="17">
        <f t="shared" si="1"/>
        <v>16</v>
      </c>
      <c r="L22" s="14">
        <v>5</v>
      </c>
      <c r="M22" s="17">
        <f t="shared" si="2"/>
        <v>47.6</v>
      </c>
    </row>
    <row r="23" spans="1:13" ht="15.75" x14ac:dyDescent="0.25">
      <c r="A23" s="12">
        <v>18</v>
      </c>
      <c r="B23" s="18">
        <v>23750106</v>
      </c>
      <c r="C23" s="18" t="s">
        <v>37</v>
      </c>
      <c r="D23" s="13">
        <v>5</v>
      </c>
      <c r="E23" s="14">
        <v>5</v>
      </c>
      <c r="F23" s="14">
        <v>5</v>
      </c>
      <c r="G23" s="14">
        <v>5</v>
      </c>
      <c r="H23" s="16">
        <v>40</v>
      </c>
      <c r="I23" s="15">
        <f t="shared" si="0"/>
        <v>8</v>
      </c>
      <c r="J23" s="23">
        <v>59</v>
      </c>
      <c r="K23" s="17">
        <f t="shared" si="1"/>
        <v>11.8</v>
      </c>
      <c r="L23" s="14">
        <v>6</v>
      </c>
      <c r="M23" s="17">
        <f t="shared" si="2"/>
        <v>45.8</v>
      </c>
    </row>
    <row r="24" spans="1:13" ht="15.75" x14ac:dyDescent="0.25">
      <c r="A24" s="12">
        <v>19</v>
      </c>
      <c r="B24" s="18">
        <v>23750107</v>
      </c>
      <c r="C24" s="18" t="s">
        <v>38</v>
      </c>
      <c r="D24" s="13">
        <v>5</v>
      </c>
      <c r="E24" s="14">
        <v>5</v>
      </c>
      <c r="F24" s="14">
        <v>5</v>
      </c>
      <c r="G24" s="14">
        <v>5</v>
      </c>
      <c r="H24" s="16">
        <v>37</v>
      </c>
      <c r="I24" s="15">
        <f t="shared" si="0"/>
        <v>7.4</v>
      </c>
      <c r="J24" s="23">
        <v>71</v>
      </c>
      <c r="K24" s="17">
        <f t="shared" si="1"/>
        <v>14.200000000000001</v>
      </c>
      <c r="L24" s="14">
        <v>6</v>
      </c>
      <c r="M24" s="17">
        <f t="shared" si="2"/>
        <v>47.6</v>
      </c>
    </row>
    <row r="25" spans="1:13" ht="15.75" x14ac:dyDescent="0.25">
      <c r="A25" s="12">
        <v>20</v>
      </c>
      <c r="B25" s="18">
        <v>23750108</v>
      </c>
      <c r="C25" s="18" t="s">
        <v>39</v>
      </c>
      <c r="D25" s="13">
        <v>5</v>
      </c>
      <c r="E25" s="14">
        <v>5</v>
      </c>
      <c r="F25" s="14">
        <v>5</v>
      </c>
      <c r="G25" s="14">
        <v>5</v>
      </c>
      <c r="H25" s="16">
        <v>32</v>
      </c>
      <c r="I25" s="15">
        <f t="shared" si="0"/>
        <v>6.4</v>
      </c>
      <c r="J25" s="14"/>
      <c r="K25" s="17"/>
      <c r="L25" s="14">
        <v>12</v>
      </c>
      <c r="M25" s="17">
        <f t="shared" si="2"/>
        <v>38.4</v>
      </c>
    </row>
    <row r="26" spans="1:13" ht="15.75" x14ac:dyDescent="0.25">
      <c r="A26" s="12">
        <v>21</v>
      </c>
      <c r="B26" s="18">
        <v>23750109</v>
      </c>
      <c r="C26" s="18" t="s">
        <v>40</v>
      </c>
      <c r="D26" s="13">
        <v>5</v>
      </c>
      <c r="E26" s="14">
        <v>5</v>
      </c>
      <c r="F26" s="14">
        <v>5</v>
      </c>
      <c r="G26" s="14">
        <v>5</v>
      </c>
      <c r="H26" s="16">
        <v>30</v>
      </c>
      <c r="I26" s="15">
        <f t="shared" si="0"/>
        <v>6</v>
      </c>
      <c r="J26" s="14">
        <v>35</v>
      </c>
      <c r="K26" s="17">
        <f t="shared" si="1"/>
        <v>7</v>
      </c>
      <c r="L26" s="14">
        <v>10</v>
      </c>
      <c r="M26" s="17">
        <f t="shared" si="2"/>
        <v>43</v>
      </c>
    </row>
    <row r="27" spans="1:13" ht="15.75" x14ac:dyDescent="0.25">
      <c r="A27" s="12">
        <v>22</v>
      </c>
      <c r="B27" s="21">
        <v>23750110</v>
      </c>
      <c r="C27" s="21" t="s">
        <v>41</v>
      </c>
      <c r="D27" s="13">
        <v>5</v>
      </c>
      <c r="E27" s="14">
        <v>5</v>
      </c>
      <c r="F27" s="14">
        <v>5</v>
      </c>
      <c r="G27" s="14">
        <v>5</v>
      </c>
      <c r="H27" s="16">
        <v>21</v>
      </c>
      <c r="I27" s="15">
        <f t="shared" si="0"/>
        <v>4.2</v>
      </c>
      <c r="J27" s="14">
        <v>18</v>
      </c>
      <c r="K27" s="17">
        <f t="shared" si="1"/>
        <v>3.6</v>
      </c>
      <c r="L27" s="14">
        <v>10</v>
      </c>
      <c r="M27" s="17">
        <f t="shared" si="2"/>
        <v>37.799999999999997</v>
      </c>
    </row>
    <row r="28" spans="1:13" ht="15.75" x14ac:dyDescent="0.25">
      <c r="A28" s="12">
        <v>23</v>
      </c>
      <c r="B28" s="18">
        <v>23750111</v>
      </c>
      <c r="C28" s="18" t="s">
        <v>42</v>
      </c>
      <c r="D28" s="13">
        <v>5</v>
      </c>
      <c r="E28" s="14">
        <v>5</v>
      </c>
      <c r="F28" s="14">
        <v>5</v>
      </c>
      <c r="G28" s="14">
        <v>5</v>
      </c>
      <c r="H28" s="16">
        <v>39</v>
      </c>
      <c r="I28" s="15">
        <f t="shared" si="0"/>
        <v>7.8000000000000007</v>
      </c>
      <c r="J28" s="14">
        <v>57</v>
      </c>
      <c r="K28" s="17">
        <f t="shared" si="1"/>
        <v>11.4</v>
      </c>
      <c r="L28" s="14">
        <v>6</v>
      </c>
      <c r="M28" s="17">
        <f t="shared" si="2"/>
        <v>45.2</v>
      </c>
    </row>
    <row r="29" spans="1:13" ht="15.75" x14ac:dyDescent="0.25">
      <c r="A29" s="12">
        <v>24</v>
      </c>
      <c r="B29" s="22">
        <v>23750112</v>
      </c>
      <c r="C29" s="22" t="s">
        <v>43</v>
      </c>
      <c r="D29" s="13">
        <v>5</v>
      </c>
      <c r="E29" s="14">
        <v>5</v>
      </c>
      <c r="F29" s="14">
        <v>5</v>
      </c>
      <c r="G29" s="14">
        <v>5</v>
      </c>
      <c r="H29" s="16">
        <v>31</v>
      </c>
      <c r="I29" s="15">
        <f t="shared" si="0"/>
        <v>6.2</v>
      </c>
      <c r="J29" s="14">
        <v>48</v>
      </c>
      <c r="K29" s="17">
        <f t="shared" si="1"/>
        <v>9.6000000000000014</v>
      </c>
      <c r="L29" s="14">
        <v>7</v>
      </c>
      <c r="M29" s="17">
        <f t="shared" si="2"/>
        <v>42.8</v>
      </c>
    </row>
    <row r="30" spans="1:13" ht="15.75" x14ac:dyDescent="0.25">
      <c r="A30" s="12">
        <v>25</v>
      </c>
      <c r="B30" s="18">
        <v>23750113</v>
      </c>
      <c r="C30" s="18" t="s">
        <v>44</v>
      </c>
      <c r="D30" s="13">
        <v>5</v>
      </c>
      <c r="E30" s="14">
        <v>5</v>
      </c>
      <c r="F30" s="14">
        <v>5</v>
      </c>
      <c r="G30" s="14">
        <v>5</v>
      </c>
      <c r="H30" s="16">
        <v>9</v>
      </c>
      <c r="I30" s="15">
        <f t="shared" si="0"/>
        <v>1.8</v>
      </c>
      <c r="J30" s="14">
        <v>50</v>
      </c>
      <c r="K30" s="17">
        <f t="shared" si="1"/>
        <v>10</v>
      </c>
      <c r="L30" s="14">
        <v>8</v>
      </c>
      <c r="M30" s="17">
        <f t="shared" si="2"/>
        <v>39.799999999999997</v>
      </c>
    </row>
    <row r="31" spans="1:13" ht="15.75" x14ac:dyDescent="0.25">
      <c r="A31" s="14">
        <v>26</v>
      </c>
      <c r="B31" s="18">
        <v>23750114</v>
      </c>
      <c r="C31" s="18" t="s">
        <v>45</v>
      </c>
      <c r="D31" s="13">
        <v>5</v>
      </c>
      <c r="E31" s="14">
        <v>5</v>
      </c>
      <c r="F31" s="14">
        <v>5</v>
      </c>
      <c r="G31" s="14">
        <v>5</v>
      </c>
      <c r="H31" s="16">
        <v>37</v>
      </c>
      <c r="I31" s="15">
        <f t="shared" si="0"/>
        <v>7.4</v>
      </c>
      <c r="J31" s="14">
        <v>50</v>
      </c>
      <c r="K31" s="17">
        <f t="shared" si="1"/>
        <v>10</v>
      </c>
      <c r="L31" s="14">
        <v>6</v>
      </c>
      <c r="M31" s="17">
        <f t="shared" si="2"/>
        <v>43.4</v>
      </c>
    </row>
    <row r="32" spans="1:13" x14ac:dyDescent="0.25">
      <c r="H32" s="25"/>
    </row>
    <row r="33" spans="8:8" x14ac:dyDescent="0.25">
      <c r="H33" s="25"/>
    </row>
  </sheetData>
  <mergeCells count="5">
    <mergeCell ref="A1:M1"/>
    <mergeCell ref="A2:M2"/>
    <mergeCell ref="A3:M3"/>
    <mergeCell ref="A4:B4"/>
    <mergeCell ref="C4:E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Pharmaceutics X</vt:lpstr>
      <vt:lpstr>Industrial Pharmacy</vt:lpstr>
      <vt:lpstr>Hospital  and Community Pharmac</vt:lpstr>
      <vt:lpstr>Toxicology</vt:lpstr>
      <vt:lpstr>Medicinal chemistry II</vt:lpstr>
      <vt:lpstr>Pharmaceutical Mnagement n Entr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2026-03-25T01:15:34Z</dcterms:modified>
</cp:coreProperties>
</file>