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Financial Institutions and Mark" sheetId="3" r:id="rId1"/>
  </sheets>
  <calcPr calcId="162913"/>
</workbook>
</file>

<file path=xl/calcChain.xml><?xml version="1.0" encoding="utf-8"?>
<calcChain xmlns="http://schemas.openxmlformats.org/spreadsheetml/2006/main">
  <c r="K7" i="3" l="1"/>
  <c r="O52" i="3" l="1"/>
  <c r="P52" i="3"/>
  <c r="Q52" i="3"/>
  <c r="R52" i="3"/>
  <c r="S52" i="3"/>
  <c r="T52" i="3"/>
  <c r="N52" i="3"/>
  <c r="K8" i="3"/>
  <c r="K9" i="3"/>
  <c r="K10" i="3"/>
  <c r="K11" i="3"/>
  <c r="K12" i="3"/>
  <c r="K13" i="3"/>
  <c r="K14" i="3"/>
  <c r="K15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U52" i="3" l="1"/>
  <c r="M8" i="3"/>
  <c r="M11" i="3"/>
  <c r="M12" i="3"/>
  <c r="M28" i="3"/>
  <c r="M32" i="3"/>
  <c r="M35" i="3"/>
  <c r="M36" i="3"/>
  <c r="M43" i="3"/>
  <c r="M44" i="3"/>
  <c r="M51" i="3"/>
  <c r="I7" i="3"/>
  <c r="I8" i="3"/>
  <c r="I9" i="3"/>
  <c r="I10" i="3"/>
  <c r="M10" i="3" s="1"/>
  <c r="I11" i="3"/>
  <c r="I12" i="3"/>
  <c r="I13" i="3"/>
  <c r="I14" i="3"/>
  <c r="M14" i="3" s="1"/>
  <c r="I15" i="3"/>
  <c r="I17" i="3"/>
  <c r="I18" i="3"/>
  <c r="I19" i="3"/>
  <c r="I20" i="3"/>
  <c r="I21" i="3"/>
  <c r="I22" i="3"/>
  <c r="I23" i="3"/>
  <c r="I24" i="3"/>
  <c r="I25" i="3"/>
  <c r="I26" i="3"/>
  <c r="I28" i="3"/>
  <c r="I29" i="3"/>
  <c r="M29" i="3" s="1"/>
  <c r="I30" i="3"/>
  <c r="M30" i="3" s="1"/>
  <c r="I31" i="3"/>
  <c r="I32" i="3"/>
  <c r="I33" i="3"/>
  <c r="M33" i="3" s="1"/>
  <c r="I34" i="3"/>
  <c r="M34" i="3" s="1"/>
  <c r="I35" i="3"/>
  <c r="I36" i="3"/>
  <c r="I37" i="3"/>
  <c r="M37" i="3" s="1"/>
  <c r="I38" i="3"/>
  <c r="M38" i="3" s="1"/>
  <c r="I39" i="3"/>
  <c r="I41" i="3"/>
  <c r="M41" i="3" s="1"/>
  <c r="I42" i="3"/>
  <c r="M42" i="3" s="1"/>
  <c r="I43" i="3"/>
  <c r="I44" i="3"/>
  <c r="I45" i="3"/>
  <c r="M45" i="3" s="1"/>
  <c r="I46" i="3"/>
  <c r="M46" i="3" s="1"/>
  <c r="I47" i="3"/>
  <c r="I48" i="3"/>
  <c r="I49" i="3"/>
  <c r="M49" i="3" s="1"/>
  <c r="I50" i="3"/>
  <c r="M50" i="3" s="1"/>
  <c r="I51" i="3"/>
  <c r="M9" i="3"/>
  <c r="M13" i="3"/>
  <c r="M15" i="3"/>
  <c r="M17" i="3"/>
  <c r="M18" i="3"/>
  <c r="M19" i="3"/>
  <c r="M20" i="3"/>
  <c r="M21" i="3"/>
  <c r="M22" i="3"/>
  <c r="M23" i="3"/>
  <c r="M24" i="3"/>
  <c r="M25" i="3"/>
  <c r="M26" i="3"/>
  <c r="M31" i="3"/>
  <c r="M39" i="3"/>
  <c r="M47" i="3"/>
  <c r="M48" i="3"/>
  <c r="M40" i="3" l="1"/>
  <c r="M27" i="3"/>
  <c r="M7" i="3"/>
</calcChain>
</file>

<file path=xl/sharedStrings.xml><?xml version="1.0" encoding="utf-8"?>
<sst xmlns="http://schemas.openxmlformats.org/spreadsheetml/2006/main" count="83" uniqueCount="76">
  <si>
    <t>Crimson College of Technology</t>
  </si>
  <si>
    <t>Devinagar, Butwal-11, Ruapndehi</t>
  </si>
  <si>
    <t>SN</t>
  </si>
  <si>
    <t>Symbol No</t>
  </si>
  <si>
    <t>Name</t>
  </si>
  <si>
    <t>Grace Marks</t>
  </si>
  <si>
    <t>……………………………..</t>
  </si>
  <si>
    <t>Lecturer Signature</t>
  </si>
  <si>
    <t>Program : BBA</t>
  </si>
  <si>
    <t>Semester :VI</t>
  </si>
  <si>
    <t>Absana Bishowkarma</t>
  </si>
  <si>
    <t xml:space="preserve">Alvin Shrestha </t>
  </si>
  <si>
    <t>Anil Adhikari</t>
  </si>
  <si>
    <t>Anisha Neupane</t>
  </si>
  <si>
    <t>Ankit Gurung</t>
  </si>
  <si>
    <t>Ashim Bhandari</t>
  </si>
  <si>
    <t>Bibek Khanal</t>
  </si>
  <si>
    <t>Bimala Gaire</t>
  </si>
  <si>
    <t>Bipana Adhikari</t>
  </si>
  <si>
    <t>Bisakha Pandey</t>
  </si>
  <si>
    <t>Bishal Chhetri</t>
  </si>
  <si>
    <t>Dikshya Chaudhary</t>
  </si>
  <si>
    <t>Dikshya Thapa</t>
  </si>
  <si>
    <t>Farina Banu</t>
  </si>
  <si>
    <t>Hima Balal</t>
  </si>
  <si>
    <t>Janaki Chaudhary</t>
  </si>
  <si>
    <t>Kanchan G C</t>
  </si>
  <si>
    <t>Lawkush Yadav</t>
  </si>
  <si>
    <t>Laxman Gyawali</t>
  </si>
  <si>
    <t>Monika Khatri</t>
  </si>
  <si>
    <t>Nisha Pariyar</t>
  </si>
  <si>
    <t>Om Bahadur Kumal</t>
  </si>
  <si>
    <t xml:space="preserve">Prakisha Karmacharya         </t>
  </si>
  <si>
    <t>Prakriti Poudel</t>
  </si>
  <si>
    <t>Pratibha Kandel</t>
  </si>
  <si>
    <t>Pratik Poudel</t>
  </si>
  <si>
    <t>Puran Nepali</t>
  </si>
  <si>
    <t>Rabina Basnet</t>
  </si>
  <si>
    <t>Rabina Sharma Gaire</t>
  </si>
  <si>
    <t>Rajat Gahatraj</t>
  </si>
  <si>
    <t>Ramnath Gupta</t>
  </si>
  <si>
    <t>Rashmi Subba</t>
  </si>
  <si>
    <t>Ritik Denga Magar</t>
  </si>
  <si>
    <t>Sabina Gurung</t>
  </si>
  <si>
    <t>Sadhana Bhattarai</t>
  </si>
  <si>
    <t>Sahil Khan</t>
  </si>
  <si>
    <t>Sakar Regmi</t>
  </si>
  <si>
    <t>Sapana Bhusal</t>
  </si>
  <si>
    <t>Saroj Gaire</t>
  </si>
  <si>
    <t>Srijana Khatri</t>
  </si>
  <si>
    <t>Shristi  Bashyal</t>
  </si>
  <si>
    <t>Suraj Yadav Ahir</t>
  </si>
  <si>
    <t>Tripti Thapa</t>
  </si>
  <si>
    <t>Yogyata Bhandari</t>
  </si>
  <si>
    <t>Aashish Gupta</t>
  </si>
  <si>
    <t>Malati Khanal</t>
  </si>
  <si>
    <t>Students'  Evaluation Sheet Fall-2024</t>
  </si>
  <si>
    <t xml:space="preserve">Attendance [5] </t>
  </si>
  <si>
    <t>Discipline [5]</t>
  </si>
  <si>
    <t>Assignment [5]</t>
  </si>
  <si>
    <t>Presentation/Project [5]</t>
  </si>
  <si>
    <t>Mid Term</t>
  </si>
  <si>
    <t>Mid Term Marks After Conversion [10]</t>
  </si>
  <si>
    <t xml:space="preserve">Final Term  </t>
  </si>
  <si>
    <t>Final Term Marks After Conversion [20]</t>
  </si>
  <si>
    <t>Total Marks [50]</t>
  </si>
  <si>
    <t>Date:2081/11/25</t>
  </si>
  <si>
    <t>Sub: Financial Institutions and Markets</t>
  </si>
  <si>
    <t>Abscent</t>
  </si>
  <si>
    <t>A</t>
  </si>
  <si>
    <t>B</t>
  </si>
  <si>
    <t>A-</t>
  </si>
  <si>
    <t>B+</t>
  </si>
  <si>
    <t>C</t>
  </si>
  <si>
    <t>B-</t>
  </si>
  <si>
    <t>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</si>
</sst>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i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3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2" borderId="0" xfId="0" applyFont="1" applyFill="1"/>
    <xf numFmtId="0" fontId="3" fillId="0" borderId="0" xfId="0" applyFont="1"/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3" xfId="0" applyFont="1" applyFill="1" applyBorder="1"/>
    <xf numFmtId="0" fontId="3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3" xfId="0" applyFont="1" applyBorder="1"/>
    <xf numFmtId="0" fontId="4" fillId="0" borderId="6" xfId="0" applyFont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7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" fontId="3" fillId="4" borderId="5" xfId="0" applyNumberFormat="1" applyFont="1" applyFill="1" applyBorder="1" applyAlignment="1">
      <alignment horizontal="center"/>
    </xf>
    <xf numFmtId="0" fontId="3" fillId="4" borderId="0" xfId="0" applyFont="1" applyFill="1"/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2" borderId="0" xfId="0" applyFont="1" applyFill="1" applyBorder="1" applyAlignment="1"/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2</xdr:col>
      <xdr:colOff>269801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2</xdr:col>
      <xdr:colOff>269801</xdr:colOff>
      <xdr:row>0</xdr:row>
      <xdr:rowOff>79563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819150</xdr:colOff>
      <xdr:row>9</xdr:row>
      <xdr:rowOff>0</xdr:rowOff>
    </xdr:to>
    <xdr:pic>
      <xdr:nvPicPr>
        <xdr:cNvPr id="6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6375" y="2533650"/>
          <a:ext cx="1533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2</xdr:col>
      <xdr:colOff>269801</xdr:colOff>
      <xdr:row>0</xdr:row>
      <xdr:rowOff>79563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2</xdr:col>
      <xdr:colOff>269801</xdr:colOff>
      <xdr:row>0</xdr:row>
      <xdr:rowOff>79563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2</xdr:col>
      <xdr:colOff>249989</xdr:colOff>
      <xdr:row>0</xdr:row>
      <xdr:rowOff>79563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2</xdr:col>
      <xdr:colOff>249989</xdr:colOff>
      <xdr:row>0</xdr:row>
      <xdr:rowOff>79563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819150</xdr:colOff>
      <xdr:row>9</xdr:row>
      <xdr:rowOff>0</xdr:rowOff>
    </xdr:to>
    <xdr:pic>
      <xdr:nvPicPr>
        <xdr:cNvPr id="13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67350" y="2581275"/>
          <a:ext cx="1533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62416</xdr:colOff>
      <xdr:row>2</xdr:row>
      <xdr:rowOff>97987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4980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2"/>
  <sheetViews>
    <sheetView tabSelected="1" topLeftCell="A18" workbookViewId="0">
      <selection activeCell="S44" sqref="S44"/>
    </sheetView>
  </sheetViews>
  <sheetFormatPr defaultRowHeight="15.75" x14ac:dyDescent="0.25"/>
  <cols>
    <col min="1" max="1" width="4" style="4" bestFit="1" customWidth="1"/>
    <col min="2" max="2" width="10.140625" style="4" bestFit="1" customWidth="1"/>
    <col min="3" max="3" width="26.42578125" style="4" bestFit="1" customWidth="1"/>
    <col min="4" max="4" width="15.7109375" style="4" bestFit="1" customWidth="1"/>
    <col min="5" max="5" width="13.7109375" style="4" bestFit="1" customWidth="1"/>
    <col min="6" max="6" width="15.42578125" style="4" bestFit="1" customWidth="1"/>
    <col min="7" max="7" width="23.85546875" style="4" bestFit="1" customWidth="1"/>
    <col min="8" max="8" width="10.7109375" style="4" bestFit="1" customWidth="1"/>
    <col min="9" max="9" width="40.140625" style="4" bestFit="1" customWidth="1"/>
    <col min="10" max="10" width="12.5703125" style="4" bestFit="1" customWidth="1"/>
    <col min="11" max="11" width="40.85546875" style="4" bestFit="1" customWidth="1"/>
    <col min="12" max="12" width="7.5703125" style="4" bestFit="1" customWidth="1"/>
    <col min="13" max="13" width="8.140625" style="4" bestFit="1" customWidth="1"/>
    <col min="14" max="14" width="3.28515625" style="4" bestFit="1" customWidth="1"/>
    <col min="15" max="15" width="3.42578125" style="4" bestFit="1" customWidth="1"/>
    <col min="16" max="16" width="3.7109375" style="4" bestFit="1" customWidth="1"/>
    <col min="17" max="17" width="2.42578125" style="4" bestFit="1" customWidth="1"/>
    <col min="18" max="18" width="3.28515625" style="4" bestFit="1" customWidth="1"/>
    <col min="19" max="19" width="3.85546875" style="4" bestFit="1" customWidth="1"/>
    <col min="20" max="20" width="2.5703125" style="4" bestFit="1" customWidth="1"/>
    <col min="21" max="16384" width="9.140625" style="4"/>
  </cols>
  <sheetData>
    <row r="1" spans="1:20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20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20" x14ac:dyDescent="0.25">
      <c r="A3" s="27" t="s">
        <v>56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20" ht="16.5" thickBot="1" x14ac:dyDescent="0.3">
      <c r="A4" s="28" t="s">
        <v>8</v>
      </c>
      <c r="B4" s="29"/>
      <c r="C4" s="30" t="s">
        <v>9</v>
      </c>
      <c r="D4" s="31"/>
      <c r="E4" s="31"/>
      <c r="F4" s="33" t="s">
        <v>67</v>
      </c>
      <c r="G4" s="33"/>
      <c r="H4" s="33"/>
      <c r="I4" s="33"/>
      <c r="J4" s="33"/>
      <c r="K4" s="32" t="s">
        <v>66</v>
      </c>
      <c r="L4" s="32"/>
      <c r="M4" s="32"/>
    </row>
    <row r="5" spans="1:20" ht="48" thickBot="1" x14ac:dyDescent="0.3">
      <c r="A5" s="5" t="s">
        <v>2</v>
      </c>
      <c r="B5" s="6" t="s">
        <v>3</v>
      </c>
      <c r="C5" s="6" t="s">
        <v>4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64</v>
      </c>
      <c r="L5" s="2" t="s">
        <v>5</v>
      </c>
      <c r="M5" s="2" t="s">
        <v>65</v>
      </c>
      <c r="N5" s="4" t="s">
        <v>69</v>
      </c>
      <c r="O5" s="4" t="s">
        <v>71</v>
      </c>
      <c r="P5" s="4" t="s">
        <v>72</v>
      </c>
      <c r="Q5" s="4" t="s">
        <v>70</v>
      </c>
      <c r="R5" s="4" t="s">
        <v>74</v>
      </c>
      <c r="S5" s="4" t="s">
        <v>75</v>
      </c>
      <c r="T5" s="4" t="s">
        <v>73</v>
      </c>
    </row>
    <row r="6" spans="1:20" ht="16.5" thickBot="1" x14ac:dyDescent="0.3">
      <c r="A6" s="7">
        <v>1</v>
      </c>
      <c r="B6" s="8">
        <v>21037849</v>
      </c>
      <c r="C6" s="9" t="s">
        <v>10</v>
      </c>
      <c r="D6" s="22">
        <v>0</v>
      </c>
      <c r="E6" s="22">
        <v>0</v>
      </c>
      <c r="F6" s="22">
        <v>0</v>
      </c>
      <c r="G6" s="22">
        <v>0</v>
      </c>
      <c r="H6" s="20" t="s">
        <v>68</v>
      </c>
      <c r="I6" s="21"/>
      <c r="J6" s="20" t="s">
        <v>68</v>
      </c>
      <c r="K6" s="22"/>
      <c r="L6" s="22"/>
      <c r="M6" s="23" t="s">
        <v>68</v>
      </c>
      <c r="N6" s="24"/>
      <c r="O6" s="24"/>
      <c r="P6" s="24"/>
      <c r="Q6" s="24"/>
      <c r="R6" s="24"/>
      <c r="S6" s="24"/>
      <c r="T6" s="24"/>
    </row>
    <row r="7" spans="1:20" ht="16.5" thickBot="1" x14ac:dyDescent="0.3">
      <c r="A7" s="7">
        <v>2</v>
      </c>
      <c r="B7" s="15">
        <v>21037850</v>
      </c>
      <c r="C7" s="16" t="s">
        <v>11</v>
      </c>
      <c r="D7" s="10">
        <v>3</v>
      </c>
      <c r="E7" s="11">
        <v>5</v>
      </c>
      <c r="F7" s="11">
        <v>5</v>
      </c>
      <c r="G7" s="11">
        <v>5</v>
      </c>
      <c r="H7" s="12">
        <v>14</v>
      </c>
      <c r="I7" s="19">
        <f t="shared" ref="I7:I51" si="0">H7*2*0.1</f>
        <v>2.8000000000000003</v>
      </c>
      <c r="J7" s="13">
        <v>86</v>
      </c>
      <c r="K7" s="11">
        <f>J7*0.7</f>
        <v>60.199999999999996</v>
      </c>
      <c r="L7" s="11"/>
      <c r="M7" s="14">
        <f t="shared" ref="M7:M51" si="1">D7+E7+F7+G7+I7+K7+L7</f>
        <v>81</v>
      </c>
      <c r="P7" s="4">
        <v>1</v>
      </c>
    </row>
    <row r="8" spans="1:20" ht="16.5" thickBot="1" x14ac:dyDescent="0.3">
      <c r="A8" s="7">
        <v>3</v>
      </c>
      <c r="B8" s="8">
        <v>21037852</v>
      </c>
      <c r="C8" s="9" t="s">
        <v>12</v>
      </c>
      <c r="D8" s="10">
        <v>4</v>
      </c>
      <c r="E8" s="11">
        <v>5</v>
      </c>
      <c r="F8" s="22"/>
      <c r="G8" s="11">
        <v>5</v>
      </c>
      <c r="H8" s="12">
        <v>33</v>
      </c>
      <c r="I8" s="19">
        <f t="shared" si="0"/>
        <v>6.6000000000000005</v>
      </c>
      <c r="J8" s="13">
        <v>87</v>
      </c>
      <c r="K8" s="11">
        <f t="shared" ref="K8:K51" si="2">J8*0.7</f>
        <v>60.9</v>
      </c>
      <c r="L8" s="11">
        <v>8</v>
      </c>
      <c r="M8" s="14">
        <f t="shared" si="1"/>
        <v>89.5</v>
      </c>
      <c r="N8" s="4">
        <v>1</v>
      </c>
    </row>
    <row r="9" spans="1:20" ht="16.5" thickBot="1" x14ac:dyDescent="0.3">
      <c r="A9" s="7">
        <v>4</v>
      </c>
      <c r="B9" s="8">
        <v>21037853</v>
      </c>
      <c r="C9" s="9" t="s">
        <v>13</v>
      </c>
      <c r="D9" s="10">
        <v>5</v>
      </c>
      <c r="E9" s="11">
        <v>5</v>
      </c>
      <c r="F9" s="11">
        <v>5</v>
      </c>
      <c r="G9" s="11">
        <v>5</v>
      </c>
      <c r="H9" s="12">
        <v>30</v>
      </c>
      <c r="I9" s="19">
        <f t="shared" si="0"/>
        <v>6</v>
      </c>
      <c r="J9" s="13">
        <v>82</v>
      </c>
      <c r="K9" s="11">
        <f t="shared" si="2"/>
        <v>57.4</v>
      </c>
      <c r="L9" s="11">
        <v>7</v>
      </c>
      <c r="M9" s="14">
        <f t="shared" si="1"/>
        <v>90.4</v>
      </c>
      <c r="N9" s="4">
        <v>1</v>
      </c>
    </row>
    <row r="10" spans="1:20" ht="16.5" thickBot="1" x14ac:dyDescent="0.3">
      <c r="A10" s="7">
        <v>5</v>
      </c>
      <c r="B10" s="8">
        <v>21037854</v>
      </c>
      <c r="C10" s="9" t="s">
        <v>14</v>
      </c>
      <c r="D10" s="10">
        <v>1</v>
      </c>
      <c r="E10" s="11">
        <v>1</v>
      </c>
      <c r="F10" s="22"/>
      <c r="G10" s="22"/>
      <c r="H10" s="12">
        <v>24</v>
      </c>
      <c r="I10" s="19">
        <f t="shared" si="0"/>
        <v>4.8000000000000007</v>
      </c>
      <c r="J10" s="13">
        <v>84</v>
      </c>
      <c r="K10" s="11">
        <f t="shared" si="2"/>
        <v>58.8</v>
      </c>
      <c r="L10" s="11">
        <v>4</v>
      </c>
      <c r="M10" s="14">
        <f t="shared" si="1"/>
        <v>69.599999999999994</v>
      </c>
      <c r="R10" s="4">
        <v>1</v>
      </c>
    </row>
    <row r="11" spans="1:20" ht="16.5" thickBot="1" x14ac:dyDescent="0.3">
      <c r="A11" s="7">
        <v>6</v>
      </c>
      <c r="B11" s="8">
        <v>21037856</v>
      </c>
      <c r="C11" s="9" t="s">
        <v>15</v>
      </c>
      <c r="D11" s="10">
        <v>3</v>
      </c>
      <c r="E11" s="11">
        <v>4</v>
      </c>
      <c r="F11" s="22"/>
      <c r="G11" s="22"/>
      <c r="H11" s="12">
        <v>12</v>
      </c>
      <c r="I11" s="19">
        <f t="shared" si="0"/>
        <v>2.4000000000000004</v>
      </c>
      <c r="J11" s="13">
        <v>80</v>
      </c>
      <c r="K11" s="11">
        <f t="shared" si="2"/>
        <v>56</v>
      </c>
      <c r="L11" s="11">
        <v>10</v>
      </c>
      <c r="M11" s="14">
        <f t="shared" si="1"/>
        <v>75.400000000000006</v>
      </c>
      <c r="Q11" s="4">
        <v>1</v>
      </c>
    </row>
    <row r="12" spans="1:20" ht="16.5" thickBot="1" x14ac:dyDescent="0.3">
      <c r="A12" s="7">
        <v>7</v>
      </c>
      <c r="B12" s="8">
        <v>21037857</v>
      </c>
      <c r="C12" s="9" t="s">
        <v>16</v>
      </c>
      <c r="D12" s="10">
        <v>5</v>
      </c>
      <c r="E12" s="11">
        <v>5</v>
      </c>
      <c r="F12" s="11">
        <v>5</v>
      </c>
      <c r="G12" s="11">
        <v>5</v>
      </c>
      <c r="H12" s="12">
        <v>20</v>
      </c>
      <c r="I12" s="19">
        <f t="shared" si="0"/>
        <v>4</v>
      </c>
      <c r="J12" s="13">
        <v>84</v>
      </c>
      <c r="K12" s="11">
        <f t="shared" si="2"/>
        <v>58.8</v>
      </c>
      <c r="L12" s="11">
        <v>7</v>
      </c>
      <c r="M12" s="14">
        <f t="shared" si="1"/>
        <v>89.8</v>
      </c>
      <c r="N12" s="4">
        <v>1</v>
      </c>
    </row>
    <row r="13" spans="1:20" ht="16.5" thickBot="1" x14ac:dyDescent="0.3">
      <c r="A13" s="7">
        <v>8</v>
      </c>
      <c r="B13" s="8">
        <v>21037858</v>
      </c>
      <c r="C13" s="9" t="s">
        <v>17</v>
      </c>
      <c r="D13" s="10">
        <v>4</v>
      </c>
      <c r="E13" s="11">
        <v>4</v>
      </c>
      <c r="F13" s="11">
        <v>5</v>
      </c>
      <c r="G13" s="11">
        <v>5</v>
      </c>
      <c r="H13" s="12">
        <v>26</v>
      </c>
      <c r="I13" s="19">
        <f t="shared" si="0"/>
        <v>5.2</v>
      </c>
      <c r="J13" s="13">
        <v>70</v>
      </c>
      <c r="K13" s="11">
        <f t="shared" si="2"/>
        <v>49</v>
      </c>
      <c r="L13" s="11">
        <v>8</v>
      </c>
      <c r="M13" s="14">
        <f t="shared" si="1"/>
        <v>80.2</v>
      </c>
      <c r="P13" s="4">
        <v>1</v>
      </c>
    </row>
    <row r="14" spans="1:20" ht="16.5" thickBot="1" x14ac:dyDescent="0.3">
      <c r="A14" s="7">
        <v>9</v>
      </c>
      <c r="B14" s="8">
        <v>21037859</v>
      </c>
      <c r="C14" s="9" t="s">
        <v>18</v>
      </c>
      <c r="D14" s="10">
        <v>5</v>
      </c>
      <c r="E14" s="11">
        <v>5</v>
      </c>
      <c r="F14" s="11">
        <v>5</v>
      </c>
      <c r="G14" s="11">
        <v>5</v>
      </c>
      <c r="H14" s="12">
        <v>36</v>
      </c>
      <c r="I14" s="19">
        <f t="shared" si="0"/>
        <v>7.2</v>
      </c>
      <c r="J14" s="13">
        <v>81</v>
      </c>
      <c r="K14" s="11">
        <f t="shared" si="2"/>
        <v>56.699999999999996</v>
      </c>
      <c r="L14" s="11">
        <v>6</v>
      </c>
      <c r="M14" s="14">
        <f t="shared" si="1"/>
        <v>89.899999999999991</v>
      </c>
      <c r="N14" s="4">
        <v>1</v>
      </c>
    </row>
    <row r="15" spans="1:20" ht="16.5" thickBot="1" x14ac:dyDescent="0.3">
      <c r="A15" s="7">
        <v>10</v>
      </c>
      <c r="B15" s="8">
        <v>21037861</v>
      </c>
      <c r="C15" s="9" t="s">
        <v>19</v>
      </c>
      <c r="D15" s="10">
        <v>5</v>
      </c>
      <c r="E15" s="11">
        <v>5</v>
      </c>
      <c r="F15" s="11">
        <v>5</v>
      </c>
      <c r="G15" s="11">
        <v>5</v>
      </c>
      <c r="H15" s="12">
        <v>24</v>
      </c>
      <c r="I15" s="19">
        <f t="shared" si="0"/>
        <v>4.8000000000000007</v>
      </c>
      <c r="J15" s="13">
        <v>86</v>
      </c>
      <c r="K15" s="11">
        <f t="shared" si="2"/>
        <v>60.199999999999996</v>
      </c>
      <c r="L15" s="11">
        <v>5</v>
      </c>
      <c r="M15" s="14">
        <f t="shared" si="1"/>
        <v>90</v>
      </c>
      <c r="N15" s="4">
        <v>1</v>
      </c>
    </row>
    <row r="16" spans="1:20" ht="16.5" thickBot="1" x14ac:dyDescent="0.3">
      <c r="A16" s="7">
        <v>11</v>
      </c>
      <c r="B16" s="8">
        <v>21037862</v>
      </c>
      <c r="C16" s="9" t="s">
        <v>20</v>
      </c>
      <c r="D16" s="22">
        <v>0</v>
      </c>
      <c r="E16" s="22">
        <v>0</v>
      </c>
      <c r="F16" s="22">
        <v>0</v>
      </c>
      <c r="G16" s="22">
        <v>0</v>
      </c>
      <c r="H16" s="20" t="s">
        <v>68</v>
      </c>
      <c r="I16" s="21"/>
      <c r="J16" s="20" t="s">
        <v>68</v>
      </c>
      <c r="K16" s="22"/>
      <c r="L16" s="22"/>
      <c r="M16" s="23" t="s">
        <v>68</v>
      </c>
      <c r="N16" s="24"/>
      <c r="O16" s="24"/>
      <c r="P16" s="24"/>
      <c r="Q16" s="24"/>
      <c r="R16" s="24"/>
      <c r="S16" s="24"/>
      <c r="T16" s="24"/>
    </row>
    <row r="17" spans="1:20" ht="16.5" thickBot="1" x14ac:dyDescent="0.3">
      <c r="A17" s="7">
        <v>12</v>
      </c>
      <c r="B17" s="8">
        <v>21037865</v>
      </c>
      <c r="C17" s="9" t="s">
        <v>21</v>
      </c>
      <c r="D17" s="10">
        <v>5</v>
      </c>
      <c r="E17" s="11">
        <v>5</v>
      </c>
      <c r="F17" s="11">
        <v>5</v>
      </c>
      <c r="G17" s="11">
        <v>5</v>
      </c>
      <c r="H17" s="12">
        <v>22</v>
      </c>
      <c r="I17" s="19">
        <f t="shared" si="0"/>
        <v>4.4000000000000004</v>
      </c>
      <c r="J17" s="13">
        <v>84</v>
      </c>
      <c r="K17" s="11">
        <f t="shared" si="2"/>
        <v>58.8</v>
      </c>
      <c r="L17" s="11">
        <v>2</v>
      </c>
      <c r="M17" s="14">
        <f t="shared" si="1"/>
        <v>85.199999999999989</v>
      </c>
      <c r="O17" s="4">
        <v>1</v>
      </c>
    </row>
    <row r="18" spans="1:20" ht="16.5" thickBot="1" x14ac:dyDescent="0.3">
      <c r="A18" s="7">
        <v>13</v>
      </c>
      <c r="B18" s="8">
        <v>21037866</v>
      </c>
      <c r="C18" s="9" t="s">
        <v>22</v>
      </c>
      <c r="D18" s="10">
        <v>5</v>
      </c>
      <c r="E18" s="11">
        <v>5</v>
      </c>
      <c r="F18" s="11">
        <v>5</v>
      </c>
      <c r="G18" s="11">
        <v>5</v>
      </c>
      <c r="H18" s="12">
        <v>38</v>
      </c>
      <c r="I18" s="19">
        <f t="shared" si="0"/>
        <v>7.6000000000000005</v>
      </c>
      <c r="J18" s="13">
        <v>86</v>
      </c>
      <c r="K18" s="11">
        <f t="shared" si="2"/>
        <v>60.199999999999996</v>
      </c>
      <c r="L18" s="11">
        <v>2</v>
      </c>
      <c r="M18" s="14">
        <f t="shared" si="1"/>
        <v>89.8</v>
      </c>
      <c r="N18" s="4">
        <v>1</v>
      </c>
    </row>
    <row r="19" spans="1:20" ht="16.5" thickBot="1" x14ac:dyDescent="0.3">
      <c r="A19" s="7">
        <v>14</v>
      </c>
      <c r="B19" s="8">
        <v>21037867</v>
      </c>
      <c r="C19" s="9" t="s">
        <v>23</v>
      </c>
      <c r="D19" s="10">
        <v>3</v>
      </c>
      <c r="E19" s="11">
        <v>4</v>
      </c>
      <c r="F19" s="22"/>
      <c r="G19" s="11">
        <v>5</v>
      </c>
      <c r="H19" s="12">
        <v>29</v>
      </c>
      <c r="I19" s="19">
        <f t="shared" si="0"/>
        <v>5.8000000000000007</v>
      </c>
      <c r="J19" s="13">
        <v>84</v>
      </c>
      <c r="K19" s="11">
        <f t="shared" si="2"/>
        <v>58.8</v>
      </c>
      <c r="L19" s="11">
        <v>3</v>
      </c>
      <c r="M19" s="14">
        <f t="shared" si="1"/>
        <v>79.599999999999994</v>
      </c>
      <c r="P19" s="4">
        <v>1</v>
      </c>
    </row>
    <row r="20" spans="1:20" ht="16.5" thickBot="1" x14ac:dyDescent="0.3">
      <c r="A20" s="7">
        <v>15</v>
      </c>
      <c r="B20" s="8">
        <v>21037868</v>
      </c>
      <c r="C20" s="9" t="s">
        <v>24</v>
      </c>
      <c r="D20" s="10">
        <v>5</v>
      </c>
      <c r="E20" s="11">
        <v>5</v>
      </c>
      <c r="F20" s="11">
        <v>5</v>
      </c>
      <c r="G20" s="11">
        <v>5</v>
      </c>
      <c r="H20" s="12">
        <v>31</v>
      </c>
      <c r="I20" s="19">
        <f t="shared" si="0"/>
        <v>6.2</v>
      </c>
      <c r="J20" s="13">
        <v>85</v>
      </c>
      <c r="K20" s="11">
        <f t="shared" si="2"/>
        <v>59.499999999999993</v>
      </c>
      <c r="L20" s="11">
        <v>4</v>
      </c>
      <c r="M20" s="14">
        <f t="shared" si="1"/>
        <v>89.699999999999989</v>
      </c>
      <c r="N20" s="4">
        <v>1</v>
      </c>
    </row>
    <row r="21" spans="1:20" ht="16.5" thickBot="1" x14ac:dyDescent="0.3">
      <c r="A21" s="7">
        <v>16</v>
      </c>
      <c r="B21" s="8">
        <v>21037869</v>
      </c>
      <c r="C21" s="9" t="s">
        <v>25</v>
      </c>
      <c r="D21" s="10">
        <v>5</v>
      </c>
      <c r="E21" s="11">
        <v>5</v>
      </c>
      <c r="F21" s="11">
        <v>5</v>
      </c>
      <c r="G21" s="11">
        <v>5</v>
      </c>
      <c r="H21" s="12">
        <v>13</v>
      </c>
      <c r="I21" s="19">
        <f t="shared" si="0"/>
        <v>2.6</v>
      </c>
      <c r="J21" s="13">
        <v>85</v>
      </c>
      <c r="K21" s="11">
        <f t="shared" si="2"/>
        <v>59.499999999999993</v>
      </c>
      <c r="L21" s="11">
        <v>3</v>
      </c>
      <c r="M21" s="14">
        <f t="shared" si="1"/>
        <v>85.1</v>
      </c>
      <c r="O21" s="4">
        <v>1</v>
      </c>
    </row>
    <row r="22" spans="1:20" ht="16.5" thickBot="1" x14ac:dyDescent="0.3">
      <c r="A22" s="7">
        <v>17</v>
      </c>
      <c r="B22" s="8">
        <v>21037870</v>
      </c>
      <c r="C22" s="9" t="s">
        <v>26</v>
      </c>
      <c r="D22" s="10">
        <v>5</v>
      </c>
      <c r="E22" s="11">
        <v>5</v>
      </c>
      <c r="F22" s="11">
        <v>5</v>
      </c>
      <c r="G22" s="11">
        <v>5</v>
      </c>
      <c r="H22" s="12">
        <v>33</v>
      </c>
      <c r="I22" s="19">
        <f t="shared" si="0"/>
        <v>6.6000000000000005</v>
      </c>
      <c r="J22" s="13">
        <v>88</v>
      </c>
      <c r="K22" s="11">
        <f t="shared" si="2"/>
        <v>61.599999999999994</v>
      </c>
      <c r="L22" s="11">
        <v>2</v>
      </c>
      <c r="M22" s="14">
        <f t="shared" si="1"/>
        <v>90.199999999999989</v>
      </c>
      <c r="N22" s="4">
        <v>1</v>
      </c>
    </row>
    <row r="23" spans="1:20" ht="16.5" thickBot="1" x14ac:dyDescent="0.3">
      <c r="A23" s="7">
        <v>18</v>
      </c>
      <c r="B23" s="8">
        <v>21037871</v>
      </c>
      <c r="C23" s="9" t="s">
        <v>27</v>
      </c>
      <c r="D23" s="10">
        <v>3</v>
      </c>
      <c r="E23" s="11">
        <v>5</v>
      </c>
      <c r="F23" s="11">
        <v>5</v>
      </c>
      <c r="G23" s="22"/>
      <c r="H23" s="12">
        <v>2</v>
      </c>
      <c r="I23" s="19">
        <f t="shared" si="0"/>
        <v>0.4</v>
      </c>
      <c r="J23" s="13">
        <v>65</v>
      </c>
      <c r="K23" s="11">
        <f t="shared" si="2"/>
        <v>45.5</v>
      </c>
      <c r="L23" s="11">
        <v>11</v>
      </c>
      <c r="M23" s="14">
        <f t="shared" si="1"/>
        <v>69.900000000000006</v>
      </c>
      <c r="R23" s="4">
        <v>1</v>
      </c>
    </row>
    <row r="24" spans="1:20" ht="16.5" thickBot="1" x14ac:dyDescent="0.3">
      <c r="A24" s="7">
        <v>19</v>
      </c>
      <c r="B24" s="8">
        <v>21037872</v>
      </c>
      <c r="C24" s="9" t="s">
        <v>28</v>
      </c>
      <c r="D24" s="10">
        <v>4</v>
      </c>
      <c r="E24" s="11">
        <v>4</v>
      </c>
      <c r="F24" s="11">
        <v>5</v>
      </c>
      <c r="G24" s="11">
        <v>5</v>
      </c>
      <c r="H24" s="12">
        <v>7</v>
      </c>
      <c r="I24" s="19">
        <f t="shared" si="0"/>
        <v>1.4000000000000001</v>
      </c>
      <c r="J24" s="13">
        <v>85</v>
      </c>
      <c r="K24" s="11">
        <f t="shared" si="2"/>
        <v>59.499999999999993</v>
      </c>
      <c r="L24" s="11">
        <v>1</v>
      </c>
      <c r="M24" s="14">
        <f t="shared" si="1"/>
        <v>79.899999999999991</v>
      </c>
      <c r="P24" s="4">
        <v>1</v>
      </c>
    </row>
    <row r="25" spans="1:20" ht="16.5" thickBot="1" x14ac:dyDescent="0.3">
      <c r="A25" s="7">
        <v>20</v>
      </c>
      <c r="B25" s="8">
        <v>21037873</v>
      </c>
      <c r="C25" s="9" t="s">
        <v>29</v>
      </c>
      <c r="D25" s="10">
        <v>5</v>
      </c>
      <c r="E25" s="11">
        <v>5</v>
      </c>
      <c r="F25" s="11">
        <v>5</v>
      </c>
      <c r="G25" s="11">
        <v>5</v>
      </c>
      <c r="H25" s="12">
        <v>40</v>
      </c>
      <c r="I25" s="19">
        <f t="shared" si="0"/>
        <v>8</v>
      </c>
      <c r="J25" s="13">
        <v>88</v>
      </c>
      <c r="K25" s="11">
        <f t="shared" si="2"/>
        <v>61.599999999999994</v>
      </c>
      <c r="L25" s="11"/>
      <c r="M25" s="14">
        <f t="shared" si="1"/>
        <v>89.6</v>
      </c>
      <c r="N25" s="4">
        <v>1</v>
      </c>
    </row>
    <row r="26" spans="1:20" ht="16.5" thickBot="1" x14ac:dyDescent="0.3">
      <c r="A26" s="7">
        <v>21</v>
      </c>
      <c r="B26" s="8">
        <v>21037874</v>
      </c>
      <c r="C26" s="9" t="s">
        <v>30</v>
      </c>
      <c r="D26" s="10">
        <v>4</v>
      </c>
      <c r="E26" s="11">
        <v>4</v>
      </c>
      <c r="F26" s="11">
        <v>5</v>
      </c>
      <c r="G26" s="22"/>
      <c r="H26" s="12">
        <v>20</v>
      </c>
      <c r="I26" s="19">
        <f t="shared" si="0"/>
        <v>4</v>
      </c>
      <c r="J26" s="13">
        <v>82</v>
      </c>
      <c r="K26" s="11">
        <f t="shared" si="2"/>
        <v>57.4</v>
      </c>
      <c r="L26" s="11">
        <v>1</v>
      </c>
      <c r="M26" s="14">
        <f t="shared" si="1"/>
        <v>75.400000000000006</v>
      </c>
      <c r="Q26" s="4">
        <v>1</v>
      </c>
    </row>
    <row r="27" spans="1:20" ht="16.5" thickBot="1" x14ac:dyDescent="0.3">
      <c r="A27" s="7">
        <v>22</v>
      </c>
      <c r="B27" s="8">
        <v>21037875</v>
      </c>
      <c r="C27" s="9" t="s">
        <v>31</v>
      </c>
      <c r="D27" s="22"/>
      <c r="E27" s="22"/>
      <c r="F27" s="22"/>
      <c r="G27" s="22"/>
      <c r="H27" s="20" t="s">
        <v>68</v>
      </c>
      <c r="I27" s="21"/>
      <c r="J27" s="13">
        <v>56</v>
      </c>
      <c r="K27" s="11">
        <f t="shared" si="2"/>
        <v>39.199999999999996</v>
      </c>
      <c r="L27" s="11">
        <v>21</v>
      </c>
      <c r="M27" s="14">
        <f t="shared" si="1"/>
        <v>60.199999999999996</v>
      </c>
      <c r="T27" s="4">
        <v>1</v>
      </c>
    </row>
    <row r="28" spans="1:20" ht="16.5" thickBot="1" x14ac:dyDescent="0.3">
      <c r="A28" s="7">
        <v>23</v>
      </c>
      <c r="B28" s="8">
        <v>21037876</v>
      </c>
      <c r="C28" s="9" t="s">
        <v>32</v>
      </c>
      <c r="D28" s="10">
        <v>4</v>
      </c>
      <c r="E28" s="11">
        <v>5</v>
      </c>
      <c r="F28" s="11">
        <v>5</v>
      </c>
      <c r="G28" s="11">
        <v>5</v>
      </c>
      <c r="H28" s="12">
        <v>23</v>
      </c>
      <c r="I28" s="19">
        <f t="shared" si="0"/>
        <v>4.6000000000000005</v>
      </c>
      <c r="J28" s="13">
        <v>82</v>
      </c>
      <c r="K28" s="11">
        <f t="shared" si="2"/>
        <v>57.4</v>
      </c>
      <c r="L28" s="11">
        <v>4</v>
      </c>
      <c r="M28" s="14">
        <f t="shared" si="1"/>
        <v>85</v>
      </c>
      <c r="O28" s="4">
        <v>1</v>
      </c>
    </row>
    <row r="29" spans="1:20" ht="16.5" thickBot="1" x14ac:dyDescent="0.3">
      <c r="A29" s="7">
        <v>24</v>
      </c>
      <c r="B29" s="8">
        <v>21037877</v>
      </c>
      <c r="C29" s="9" t="s">
        <v>33</v>
      </c>
      <c r="D29" s="10">
        <v>5</v>
      </c>
      <c r="E29" s="11">
        <v>5</v>
      </c>
      <c r="F29" s="11">
        <v>5</v>
      </c>
      <c r="G29" s="11">
        <v>5</v>
      </c>
      <c r="H29" s="12">
        <v>33</v>
      </c>
      <c r="I29" s="19">
        <f t="shared" si="0"/>
        <v>6.6000000000000005</v>
      </c>
      <c r="J29" s="13">
        <v>88</v>
      </c>
      <c r="K29" s="11">
        <f t="shared" si="2"/>
        <v>61.599999999999994</v>
      </c>
      <c r="L29" s="11">
        <v>2</v>
      </c>
      <c r="M29" s="14">
        <f t="shared" si="1"/>
        <v>90.199999999999989</v>
      </c>
      <c r="N29" s="4">
        <v>1</v>
      </c>
    </row>
    <row r="30" spans="1:20" ht="16.5" thickBot="1" x14ac:dyDescent="0.3">
      <c r="A30" s="7">
        <v>25</v>
      </c>
      <c r="B30" s="8">
        <v>21037878</v>
      </c>
      <c r="C30" s="9" t="s">
        <v>34</v>
      </c>
      <c r="D30" s="10">
        <v>4</v>
      </c>
      <c r="E30" s="11">
        <v>4</v>
      </c>
      <c r="F30" s="11">
        <v>5</v>
      </c>
      <c r="G30" s="22"/>
      <c r="H30" s="12">
        <v>39</v>
      </c>
      <c r="I30" s="19">
        <f t="shared" si="0"/>
        <v>7.8000000000000007</v>
      </c>
      <c r="J30" s="13">
        <v>88</v>
      </c>
      <c r="K30" s="11">
        <f t="shared" si="2"/>
        <v>61.599999999999994</v>
      </c>
      <c r="L30" s="11">
        <v>3</v>
      </c>
      <c r="M30" s="14">
        <f t="shared" si="1"/>
        <v>85.399999999999991</v>
      </c>
      <c r="O30" s="4">
        <v>1</v>
      </c>
    </row>
    <row r="31" spans="1:20" ht="16.5" thickBot="1" x14ac:dyDescent="0.3">
      <c r="A31" s="7">
        <v>26</v>
      </c>
      <c r="B31" s="8">
        <v>21037879</v>
      </c>
      <c r="C31" s="9" t="s">
        <v>35</v>
      </c>
      <c r="D31" s="10">
        <v>1</v>
      </c>
      <c r="E31" s="11"/>
      <c r="F31" s="22"/>
      <c r="G31" s="22"/>
      <c r="H31" s="12">
        <v>7</v>
      </c>
      <c r="I31" s="19">
        <f t="shared" si="0"/>
        <v>1.4000000000000001</v>
      </c>
      <c r="J31" s="13">
        <v>85</v>
      </c>
      <c r="K31" s="11">
        <f t="shared" si="2"/>
        <v>59.499999999999993</v>
      </c>
      <c r="L31" s="11">
        <v>3</v>
      </c>
      <c r="M31" s="14">
        <f t="shared" si="1"/>
        <v>64.899999999999991</v>
      </c>
      <c r="S31" s="4">
        <v>1</v>
      </c>
    </row>
    <row r="32" spans="1:20" ht="16.5" thickBot="1" x14ac:dyDescent="0.3">
      <c r="A32" s="7">
        <v>27</v>
      </c>
      <c r="B32" s="8">
        <v>21037880</v>
      </c>
      <c r="C32" s="9" t="s">
        <v>36</v>
      </c>
      <c r="D32" s="10">
        <v>4</v>
      </c>
      <c r="E32" s="11">
        <v>4</v>
      </c>
      <c r="F32" s="22"/>
      <c r="G32" s="22"/>
      <c r="H32" s="12">
        <v>3</v>
      </c>
      <c r="I32" s="19">
        <f t="shared" si="0"/>
        <v>0.60000000000000009</v>
      </c>
      <c r="J32" s="13">
        <v>77</v>
      </c>
      <c r="K32" s="11">
        <f t="shared" si="2"/>
        <v>53.9</v>
      </c>
      <c r="L32" s="11">
        <v>7</v>
      </c>
      <c r="M32" s="14">
        <f t="shared" si="1"/>
        <v>69.5</v>
      </c>
      <c r="R32" s="4">
        <v>1</v>
      </c>
    </row>
    <row r="33" spans="1:19" ht="16.5" thickBot="1" x14ac:dyDescent="0.3">
      <c r="A33" s="7">
        <v>28</v>
      </c>
      <c r="B33" s="8">
        <v>21037881</v>
      </c>
      <c r="C33" s="9" t="s">
        <v>37</v>
      </c>
      <c r="D33" s="10">
        <v>4</v>
      </c>
      <c r="E33" s="11">
        <v>4</v>
      </c>
      <c r="F33" s="11">
        <v>5</v>
      </c>
      <c r="G33" s="11">
        <v>5</v>
      </c>
      <c r="H33" s="12">
        <v>28</v>
      </c>
      <c r="I33" s="19">
        <f t="shared" si="0"/>
        <v>5.6000000000000005</v>
      </c>
      <c r="J33" s="13">
        <v>88</v>
      </c>
      <c r="K33" s="11">
        <f t="shared" si="2"/>
        <v>61.599999999999994</v>
      </c>
      <c r="L33" s="11"/>
      <c r="M33" s="14">
        <f t="shared" si="1"/>
        <v>85.199999999999989</v>
      </c>
      <c r="O33" s="4">
        <v>1</v>
      </c>
    </row>
    <row r="34" spans="1:19" ht="16.5" thickBot="1" x14ac:dyDescent="0.3">
      <c r="A34" s="7">
        <v>29</v>
      </c>
      <c r="B34" s="8">
        <v>21037882</v>
      </c>
      <c r="C34" s="9" t="s">
        <v>38</v>
      </c>
      <c r="D34" s="10">
        <v>4</v>
      </c>
      <c r="E34" s="11">
        <v>4</v>
      </c>
      <c r="F34" s="22"/>
      <c r="G34" s="22"/>
      <c r="H34" s="12">
        <v>22</v>
      </c>
      <c r="I34" s="19">
        <f t="shared" si="0"/>
        <v>4.4000000000000004</v>
      </c>
      <c r="J34" s="13">
        <v>84</v>
      </c>
      <c r="K34" s="11">
        <f t="shared" si="2"/>
        <v>58.8</v>
      </c>
      <c r="L34" s="11">
        <v>4</v>
      </c>
      <c r="M34" s="14">
        <f t="shared" si="1"/>
        <v>75.2</v>
      </c>
      <c r="Q34" s="4">
        <v>1</v>
      </c>
    </row>
    <row r="35" spans="1:19" ht="16.5" thickBot="1" x14ac:dyDescent="0.3">
      <c r="A35" s="7">
        <v>30</v>
      </c>
      <c r="B35" s="8">
        <v>21037883</v>
      </c>
      <c r="C35" s="9" t="s">
        <v>39</v>
      </c>
      <c r="D35" s="10">
        <v>2</v>
      </c>
      <c r="E35" s="11">
        <v>2</v>
      </c>
      <c r="F35" s="22"/>
      <c r="G35" s="22"/>
      <c r="H35" s="12">
        <v>8</v>
      </c>
      <c r="I35" s="19">
        <f t="shared" si="0"/>
        <v>1.6</v>
      </c>
      <c r="J35" s="13">
        <v>61</v>
      </c>
      <c r="K35" s="11">
        <f t="shared" si="2"/>
        <v>42.699999999999996</v>
      </c>
      <c r="L35" s="11">
        <v>17</v>
      </c>
      <c r="M35" s="14">
        <f t="shared" si="1"/>
        <v>65.3</v>
      </c>
      <c r="S35" s="4">
        <v>1</v>
      </c>
    </row>
    <row r="36" spans="1:19" ht="16.5" thickBot="1" x14ac:dyDescent="0.3">
      <c r="A36" s="7">
        <v>31</v>
      </c>
      <c r="B36" s="8">
        <v>21037884</v>
      </c>
      <c r="C36" s="9" t="s">
        <v>40</v>
      </c>
      <c r="D36" s="10">
        <v>4</v>
      </c>
      <c r="E36" s="11">
        <v>5</v>
      </c>
      <c r="F36" s="11">
        <v>5</v>
      </c>
      <c r="G36" s="22"/>
      <c r="H36" s="12">
        <v>30</v>
      </c>
      <c r="I36" s="19">
        <f t="shared" si="0"/>
        <v>6</v>
      </c>
      <c r="J36" s="13">
        <v>81</v>
      </c>
      <c r="K36" s="11">
        <f t="shared" si="2"/>
        <v>56.699999999999996</v>
      </c>
      <c r="L36" s="11">
        <v>13</v>
      </c>
      <c r="M36" s="14">
        <f t="shared" si="1"/>
        <v>89.699999999999989</v>
      </c>
      <c r="O36" s="4">
        <v>1</v>
      </c>
    </row>
    <row r="37" spans="1:19" ht="16.5" thickBot="1" x14ac:dyDescent="0.3">
      <c r="A37" s="7">
        <v>32</v>
      </c>
      <c r="B37" s="8">
        <v>21037885</v>
      </c>
      <c r="C37" s="9" t="s">
        <v>41</v>
      </c>
      <c r="D37" s="10">
        <v>5</v>
      </c>
      <c r="E37" s="11">
        <v>5</v>
      </c>
      <c r="F37" s="11">
        <v>5</v>
      </c>
      <c r="G37" s="11">
        <v>5</v>
      </c>
      <c r="H37" s="12">
        <v>40</v>
      </c>
      <c r="I37" s="19">
        <f t="shared" si="0"/>
        <v>8</v>
      </c>
      <c r="J37" s="13">
        <v>88</v>
      </c>
      <c r="K37" s="11">
        <f t="shared" si="2"/>
        <v>61.599999999999994</v>
      </c>
      <c r="L37" s="11"/>
      <c r="M37" s="14">
        <f t="shared" si="1"/>
        <v>89.6</v>
      </c>
      <c r="N37" s="4">
        <v>1</v>
      </c>
    </row>
    <row r="38" spans="1:19" ht="16.5" thickBot="1" x14ac:dyDescent="0.3">
      <c r="A38" s="7">
        <v>33</v>
      </c>
      <c r="B38" s="8">
        <v>21037886</v>
      </c>
      <c r="C38" s="9" t="s">
        <v>42</v>
      </c>
      <c r="D38" s="10">
        <v>5</v>
      </c>
      <c r="E38" s="11">
        <v>5</v>
      </c>
      <c r="F38" s="11">
        <v>5</v>
      </c>
      <c r="G38" s="11">
        <v>5</v>
      </c>
      <c r="H38" s="12">
        <v>22</v>
      </c>
      <c r="I38" s="19">
        <f t="shared" si="0"/>
        <v>4.4000000000000004</v>
      </c>
      <c r="J38" s="13">
        <v>83</v>
      </c>
      <c r="K38" s="11">
        <f t="shared" si="2"/>
        <v>58.099999999999994</v>
      </c>
      <c r="L38" s="11">
        <v>7</v>
      </c>
      <c r="M38" s="14">
        <f t="shared" si="1"/>
        <v>89.5</v>
      </c>
      <c r="N38" s="4">
        <v>1</v>
      </c>
    </row>
    <row r="39" spans="1:19" ht="16.5" thickBot="1" x14ac:dyDescent="0.3">
      <c r="A39" s="7">
        <v>34</v>
      </c>
      <c r="B39" s="8">
        <v>21037888</v>
      </c>
      <c r="C39" s="9" t="s">
        <v>43</v>
      </c>
      <c r="D39" s="10">
        <v>3</v>
      </c>
      <c r="E39" s="11">
        <v>4</v>
      </c>
      <c r="F39" s="11">
        <v>5</v>
      </c>
      <c r="G39" s="11">
        <v>5</v>
      </c>
      <c r="H39" s="12">
        <v>35</v>
      </c>
      <c r="I39" s="19">
        <f t="shared" si="0"/>
        <v>7</v>
      </c>
      <c r="J39" s="13">
        <v>76</v>
      </c>
      <c r="K39" s="11">
        <f t="shared" si="2"/>
        <v>53.199999999999996</v>
      </c>
      <c r="L39" s="11">
        <v>8</v>
      </c>
      <c r="M39" s="14">
        <f t="shared" si="1"/>
        <v>85.199999999999989</v>
      </c>
      <c r="O39" s="4">
        <v>1</v>
      </c>
    </row>
    <row r="40" spans="1:19" ht="16.5" thickBot="1" x14ac:dyDescent="0.3">
      <c r="A40" s="7">
        <v>35</v>
      </c>
      <c r="B40" s="8">
        <v>21037889</v>
      </c>
      <c r="C40" s="9" t="s">
        <v>44</v>
      </c>
      <c r="D40" s="10">
        <v>5</v>
      </c>
      <c r="E40" s="11">
        <v>5</v>
      </c>
      <c r="F40" s="11">
        <v>5</v>
      </c>
      <c r="G40" s="11">
        <v>5</v>
      </c>
      <c r="H40" s="18" t="s">
        <v>68</v>
      </c>
      <c r="I40" s="17"/>
      <c r="J40" s="13">
        <v>86</v>
      </c>
      <c r="K40" s="11">
        <f t="shared" si="2"/>
        <v>60.199999999999996</v>
      </c>
      <c r="L40" s="11"/>
      <c r="M40" s="14">
        <f t="shared" si="1"/>
        <v>80.199999999999989</v>
      </c>
      <c r="P40" s="4">
        <v>1</v>
      </c>
    </row>
    <row r="41" spans="1:19" ht="16.5" thickBot="1" x14ac:dyDescent="0.3">
      <c r="A41" s="7">
        <v>36</v>
      </c>
      <c r="B41" s="8">
        <v>21037890</v>
      </c>
      <c r="C41" s="9" t="s">
        <v>45</v>
      </c>
      <c r="D41" s="10">
        <v>4</v>
      </c>
      <c r="E41" s="11">
        <v>5</v>
      </c>
      <c r="F41" s="11">
        <v>5</v>
      </c>
      <c r="G41" s="11">
        <v>5</v>
      </c>
      <c r="H41" s="12">
        <v>6</v>
      </c>
      <c r="I41" s="19">
        <f t="shared" si="0"/>
        <v>1.2000000000000002</v>
      </c>
      <c r="J41" s="13">
        <v>85</v>
      </c>
      <c r="K41" s="11">
        <f t="shared" si="2"/>
        <v>59.499999999999993</v>
      </c>
      <c r="L41" s="11"/>
      <c r="M41" s="14">
        <f t="shared" si="1"/>
        <v>79.699999999999989</v>
      </c>
      <c r="P41" s="4">
        <v>1</v>
      </c>
    </row>
    <row r="42" spans="1:19" ht="16.5" thickBot="1" x14ac:dyDescent="0.3">
      <c r="A42" s="7">
        <v>37</v>
      </c>
      <c r="B42" s="8">
        <v>21037891</v>
      </c>
      <c r="C42" s="9" t="s">
        <v>46</v>
      </c>
      <c r="D42" s="10">
        <v>4</v>
      </c>
      <c r="E42" s="11">
        <v>4</v>
      </c>
      <c r="F42" s="11">
        <v>5</v>
      </c>
      <c r="G42" s="11">
        <v>5</v>
      </c>
      <c r="H42" s="12">
        <v>16</v>
      </c>
      <c r="I42" s="19">
        <f t="shared" si="0"/>
        <v>3.2</v>
      </c>
      <c r="J42" s="13">
        <v>84</v>
      </c>
      <c r="K42" s="11">
        <f t="shared" si="2"/>
        <v>58.8</v>
      </c>
      <c r="L42" s="11">
        <v>5</v>
      </c>
      <c r="M42" s="14">
        <f t="shared" si="1"/>
        <v>85</v>
      </c>
      <c r="O42" s="4">
        <v>1</v>
      </c>
    </row>
    <row r="43" spans="1:19" ht="16.5" thickBot="1" x14ac:dyDescent="0.3">
      <c r="A43" s="7">
        <v>38</v>
      </c>
      <c r="B43" s="8">
        <v>21037892</v>
      </c>
      <c r="C43" s="9" t="s">
        <v>47</v>
      </c>
      <c r="D43" s="10">
        <v>5</v>
      </c>
      <c r="E43" s="11">
        <v>4</v>
      </c>
      <c r="F43" s="11">
        <v>5</v>
      </c>
      <c r="G43" s="11">
        <v>5</v>
      </c>
      <c r="H43" s="12">
        <v>41</v>
      </c>
      <c r="I43" s="19">
        <f t="shared" si="0"/>
        <v>8.2000000000000011</v>
      </c>
      <c r="J43" s="13">
        <v>81</v>
      </c>
      <c r="K43" s="11">
        <f t="shared" si="2"/>
        <v>56.699999999999996</v>
      </c>
      <c r="L43" s="11">
        <v>1</v>
      </c>
      <c r="M43" s="14">
        <f t="shared" si="1"/>
        <v>84.9</v>
      </c>
      <c r="O43" s="4">
        <v>1</v>
      </c>
    </row>
    <row r="44" spans="1:19" ht="16.5" thickBot="1" x14ac:dyDescent="0.3">
      <c r="A44" s="7">
        <v>39</v>
      </c>
      <c r="B44" s="8">
        <v>21037893</v>
      </c>
      <c r="C44" s="9" t="s">
        <v>48</v>
      </c>
      <c r="D44" s="10">
        <v>3</v>
      </c>
      <c r="E44" s="11">
        <v>5</v>
      </c>
      <c r="F44" s="11">
        <v>5</v>
      </c>
      <c r="G44" s="11">
        <v>5</v>
      </c>
      <c r="H44" s="12">
        <v>22</v>
      </c>
      <c r="I44" s="19">
        <f t="shared" si="0"/>
        <v>4.4000000000000004</v>
      </c>
      <c r="J44" s="13">
        <v>85</v>
      </c>
      <c r="K44" s="11">
        <f t="shared" si="2"/>
        <v>59.499999999999993</v>
      </c>
      <c r="L44" s="11">
        <v>3</v>
      </c>
      <c r="M44" s="14">
        <f t="shared" si="1"/>
        <v>84.899999999999991</v>
      </c>
      <c r="O44" s="4">
        <v>1</v>
      </c>
    </row>
    <row r="45" spans="1:19" ht="16.5" thickBot="1" x14ac:dyDescent="0.3">
      <c r="A45" s="7">
        <v>40</v>
      </c>
      <c r="B45" s="8">
        <v>21037895</v>
      </c>
      <c r="C45" s="9" t="s">
        <v>49</v>
      </c>
      <c r="D45" s="10">
        <v>5</v>
      </c>
      <c r="E45" s="11">
        <v>5</v>
      </c>
      <c r="F45" s="11">
        <v>5</v>
      </c>
      <c r="G45" s="11">
        <v>5</v>
      </c>
      <c r="H45" s="12">
        <v>41</v>
      </c>
      <c r="I45" s="19">
        <f t="shared" si="0"/>
        <v>8.2000000000000011</v>
      </c>
      <c r="J45" s="13">
        <v>86</v>
      </c>
      <c r="K45" s="11">
        <f t="shared" si="2"/>
        <v>60.199999999999996</v>
      </c>
      <c r="L45" s="11">
        <v>2</v>
      </c>
      <c r="M45" s="14">
        <f t="shared" si="1"/>
        <v>90.4</v>
      </c>
      <c r="N45" s="4">
        <v>1</v>
      </c>
    </row>
    <row r="46" spans="1:19" ht="16.5" thickBot="1" x14ac:dyDescent="0.3">
      <c r="A46" s="7">
        <v>41</v>
      </c>
      <c r="B46" s="8">
        <v>21037896</v>
      </c>
      <c r="C46" s="9" t="s">
        <v>50</v>
      </c>
      <c r="D46" s="10">
        <v>5</v>
      </c>
      <c r="E46" s="11">
        <v>4</v>
      </c>
      <c r="F46" s="11">
        <v>5</v>
      </c>
      <c r="G46" s="11">
        <v>5</v>
      </c>
      <c r="H46" s="12">
        <v>40</v>
      </c>
      <c r="I46" s="19">
        <f t="shared" si="0"/>
        <v>8</v>
      </c>
      <c r="J46" s="13">
        <v>88</v>
      </c>
      <c r="K46" s="11">
        <f t="shared" si="2"/>
        <v>61.599999999999994</v>
      </c>
      <c r="L46" s="11">
        <v>1</v>
      </c>
      <c r="M46" s="14">
        <f t="shared" si="1"/>
        <v>89.6</v>
      </c>
      <c r="N46" s="4">
        <v>1</v>
      </c>
    </row>
    <row r="47" spans="1:19" ht="16.5" thickBot="1" x14ac:dyDescent="0.3">
      <c r="A47" s="7">
        <v>42</v>
      </c>
      <c r="B47" s="8">
        <v>21037897</v>
      </c>
      <c r="C47" s="9" t="s">
        <v>51</v>
      </c>
      <c r="D47" s="10">
        <v>4</v>
      </c>
      <c r="E47" s="11">
        <v>4</v>
      </c>
      <c r="F47" s="22"/>
      <c r="G47" s="11">
        <v>5</v>
      </c>
      <c r="H47" s="12">
        <v>16</v>
      </c>
      <c r="I47" s="19">
        <f t="shared" si="0"/>
        <v>3.2</v>
      </c>
      <c r="J47" s="13">
        <v>81</v>
      </c>
      <c r="K47" s="11">
        <f t="shared" si="2"/>
        <v>56.699999999999996</v>
      </c>
      <c r="L47" s="11">
        <v>12</v>
      </c>
      <c r="M47" s="14">
        <f t="shared" si="1"/>
        <v>84.899999999999991</v>
      </c>
      <c r="O47" s="4">
        <v>1</v>
      </c>
    </row>
    <row r="48" spans="1:19" ht="16.5" thickBot="1" x14ac:dyDescent="0.3">
      <c r="A48" s="7">
        <v>43</v>
      </c>
      <c r="B48" s="8">
        <v>21037898</v>
      </c>
      <c r="C48" s="9" t="s">
        <v>52</v>
      </c>
      <c r="D48" s="10">
        <v>5</v>
      </c>
      <c r="E48" s="11">
        <v>5</v>
      </c>
      <c r="F48" s="11">
        <v>5</v>
      </c>
      <c r="G48" s="11">
        <v>5</v>
      </c>
      <c r="H48" s="12">
        <v>25</v>
      </c>
      <c r="I48" s="19">
        <f t="shared" si="0"/>
        <v>5</v>
      </c>
      <c r="J48" s="13">
        <v>88</v>
      </c>
      <c r="K48" s="11">
        <f t="shared" si="2"/>
        <v>61.599999999999994</v>
      </c>
      <c r="L48" s="11"/>
      <c r="M48" s="14">
        <f t="shared" si="1"/>
        <v>86.6</v>
      </c>
      <c r="O48" s="4">
        <v>1</v>
      </c>
    </row>
    <row r="49" spans="1:21" ht="16.5" thickBot="1" x14ac:dyDescent="0.3">
      <c r="A49" s="7">
        <v>44</v>
      </c>
      <c r="B49" s="8">
        <v>21037899</v>
      </c>
      <c r="C49" s="9" t="s">
        <v>53</v>
      </c>
      <c r="D49" s="10">
        <v>4</v>
      </c>
      <c r="E49" s="11">
        <v>4</v>
      </c>
      <c r="F49" s="22"/>
      <c r="G49" s="11">
        <v>5</v>
      </c>
      <c r="H49" s="12">
        <v>10</v>
      </c>
      <c r="I49" s="19">
        <f t="shared" si="0"/>
        <v>2</v>
      </c>
      <c r="J49" s="13">
        <v>85</v>
      </c>
      <c r="K49" s="11">
        <f t="shared" si="2"/>
        <v>59.499999999999993</v>
      </c>
      <c r="L49" s="11"/>
      <c r="M49" s="14">
        <f t="shared" si="1"/>
        <v>74.5</v>
      </c>
      <c r="Q49" s="4">
        <v>1</v>
      </c>
    </row>
    <row r="50" spans="1:21" ht="16.5" thickBot="1" x14ac:dyDescent="0.3">
      <c r="A50" s="7">
        <v>45</v>
      </c>
      <c r="B50" s="8">
        <v>21037900</v>
      </c>
      <c r="C50" s="9" t="s">
        <v>54</v>
      </c>
      <c r="D50" s="10">
        <v>3</v>
      </c>
      <c r="E50" s="11">
        <v>4</v>
      </c>
      <c r="F50" s="22"/>
      <c r="G50" s="11">
        <v>5</v>
      </c>
      <c r="H50" s="12">
        <v>10</v>
      </c>
      <c r="I50" s="19">
        <f t="shared" si="0"/>
        <v>2</v>
      </c>
      <c r="J50" s="13">
        <v>77</v>
      </c>
      <c r="K50" s="11">
        <f t="shared" si="2"/>
        <v>53.9</v>
      </c>
      <c r="L50" s="11">
        <v>7</v>
      </c>
      <c r="M50" s="14">
        <f t="shared" si="1"/>
        <v>74.900000000000006</v>
      </c>
      <c r="Q50" s="4">
        <v>1</v>
      </c>
    </row>
    <row r="51" spans="1:21" x14ac:dyDescent="0.25">
      <c r="A51" s="7">
        <v>46</v>
      </c>
      <c r="B51" s="8">
        <v>21035179</v>
      </c>
      <c r="C51" s="9" t="s">
        <v>55</v>
      </c>
      <c r="D51" s="10">
        <v>4</v>
      </c>
      <c r="E51" s="11">
        <v>5</v>
      </c>
      <c r="F51" s="11">
        <v>5</v>
      </c>
      <c r="G51" s="11">
        <v>5</v>
      </c>
      <c r="H51" s="12">
        <v>14</v>
      </c>
      <c r="I51" s="19">
        <f t="shared" si="0"/>
        <v>2.8000000000000003</v>
      </c>
      <c r="J51" s="13">
        <v>82</v>
      </c>
      <c r="K51" s="11">
        <f t="shared" si="2"/>
        <v>57.4</v>
      </c>
      <c r="L51" s="11">
        <v>1</v>
      </c>
      <c r="M51" s="14">
        <f t="shared" si="1"/>
        <v>80.2</v>
      </c>
      <c r="P51" s="4">
        <v>1</v>
      </c>
    </row>
    <row r="52" spans="1:2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25" t="s">
        <v>6</v>
      </c>
      <c r="L52" s="25"/>
      <c r="M52" s="3"/>
      <c r="N52" s="4">
        <f>SUM(N7:N51)</f>
        <v>14</v>
      </c>
      <c r="O52" s="4">
        <f t="shared" ref="O52:T52" si="3">SUM(O7:O51)</f>
        <v>12</v>
      </c>
      <c r="P52" s="4">
        <f t="shared" si="3"/>
        <v>7</v>
      </c>
      <c r="Q52" s="4">
        <f t="shared" si="3"/>
        <v>5</v>
      </c>
      <c r="R52" s="4">
        <f t="shared" si="3"/>
        <v>3</v>
      </c>
      <c r="S52" s="4">
        <f t="shared" si="3"/>
        <v>2</v>
      </c>
      <c r="T52" s="4">
        <f t="shared" si="3"/>
        <v>1</v>
      </c>
      <c r="U52" s="4">
        <f>SUM(N52:T52)</f>
        <v>44</v>
      </c>
    </row>
    <row r="53" spans="1:2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25" t="s">
        <v>7</v>
      </c>
      <c r="L53" s="25"/>
      <c r="M53" s="3"/>
    </row>
    <row r="54" spans="1:2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2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2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2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2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2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2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2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2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2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2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</sheetData>
  <mergeCells count="9">
    <mergeCell ref="K52:L52"/>
    <mergeCell ref="K53:L53"/>
    <mergeCell ref="A1:M1"/>
    <mergeCell ref="A2:M2"/>
    <mergeCell ref="A3:M3"/>
    <mergeCell ref="A4:B4"/>
    <mergeCell ref="C4:E4"/>
    <mergeCell ref="K4:M4"/>
    <mergeCell ref="F4:J4"/>
  </mergeCells>
  <pageMargins left="0.24" right="0.16" top="0.23" bottom="0.2" header="0.2" footer="0.2"/>
  <pageSetup paperSize="9" scale="85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Institutions and 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2025-03-24T03:09:42Z</dcterms:modified>
</cp:coreProperties>
</file>