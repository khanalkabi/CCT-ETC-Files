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 firstSheet="1" activeTab="2"/>
  </bookViews>
  <sheets>
    <sheet name="Internal Business " sheetId="1" r:id="rId1"/>
    <sheet name="Bank Operations Management" sheetId="5" r:id="rId2"/>
    <sheet name="Sheet1" sheetId="6" r:id="rId3"/>
  </sheets>
  <calcPr calcId="162913"/>
</workbook>
</file>

<file path=xl/calcChain.xml><?xml version="1.0" encoding="utf-8"?>
<calcChain xmlns="http://schemas.openxmlformats.org/spreadsheetml/2006/main">
  <c r="K7" i="5" l="1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6" i="5"/>
  <c r="M10" i="5" l="1"/>
  <c r="M7" i="5" l="1"/>
  <c r="M8" i="5"/>
  <c r="M9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7" i="5"/>
  <c r="M38" i="5"/>
  <c r="M40" i="5"/>
  <c r="M41" i="5"/>
  <c r="M42" i="5"/>
  <c r="M43" i="5"/>
  <c r="M44" i="5"/>
  <c r="M45" i="5"/>
  <c r="M46" i="5"/>
  <c r="M47" i="5"/>
  <c r="M48" i="5"/>
  <c r="M50" i="5"/>
  <c r="I37" i="5" l="1"/>
  <c r="I38" i="5"/>
  <c r="I40" i="5"/>
  <c r="I41" i="5"/>
  <c r="I42" i="5"/>
  <c r="I43" i="5"/>
  <c r="I46" i="5"/>
  <c r="I47" i="5"/>
  <c r="M49" i="5"/>
  <c r="I50" i="5"/>
  <c r="L36" i="1" l="1"/>
  <c r="J36" i="1"/>
  <c r="N36" i="1" s="1"/>
  <c r="L35" i="1"/>
  <c r="J35" i="1"/>
  <c r="N35" i="1" s="1"/>
  <c r="L34" i="1"/>
  <c r="J34" i="1"/>
  <c r="N34" i="1" s="1"/>
  <c r="L33" i="1"/>
  <c r="J33" i="1"/>
  <c r="N33" i="1" s="1"/>
  <c r="L32" i="1"/>
  <c r="J32" i="1"/>
  <c r="N32" i="1" s="1"/>
  <c r="L31" i="1"/>
  <c r="J31" i="1"/>
  <c r="N31" i="1" s="1"/>
  <c r="L30" i="1"/>
  <c r="J30" i="1"/>
  <c r="N30" i="1" s="1"/>
  <c r="L29" i="1"/>
  <c r="J29" i="1"/>
  <c r="N29" i="1" s="1"/>
  <c r="L28" i="1"/>
  <c r="J28" i="1"/>
  <c r="N28" i="1" s="1"/>
  <c r="L27" i="1"/>
  <c r="J27" i="1"/>
  <c r="N27" i="1" s="1"/>
  <c r="L26" i="1"/>
  <c r="J26" i="1"/>
  <c r="N26" i="1" s="1"/>
  <c r="L25" i="1"/>
  <c r="J25" i="1"/>
  <c r="N25" i="1" s="1"/>
  <c r="L24" i="1"/>
  <c r="J24" i="1"/>
  <c r="N24" i="1" s="1"/>
  <c r="L23" i="1"/>
  <c r="J23" i="1"/>
  <c r="N23" i="1" s="1"/>
  <c r="L22" i="1"/>
  <c r="J22" i="1"/>
  <c r="N22" i="1" s="1"/>
  <c r="L21" i="1"/>
  <c r="J21" i="1"/>
  <c r="N21" i="1" s="1"/>
  <c r="L20" i="1"/>
  <c r="J20" i="1"/>
  <c r="N20" i="1" s="1"/>
  <c r="L19" i="1"/>
  <c r="J19" i="1"/>
  <c r="N19" i="1" s="1"/>
  <c r="L18" i="1"/>
  <c r="J18" i="1"/>
  <c r="N18" i="1" s="1"/>
  <c r="L17" i="1"/>
  <c r="J17" i="1"/>
  <c r="N17" i="1" s="1"/>
  <c r="L16" i="1"/>
  <c r="J16" i="1"/>
  <c r="N16" i="1" s="1"/>
  <c r="L15" i="1"/>
  <c r="J15" i="1"/>
  <c r="N15" i="1" s="1"/>
  <c r="L14" i="1"/>
  <c r="J14" i="1"/>
  <c r="N14" i="1" s="1"/>
  <c r="L13" i="1"/>
  <c r="J13" i="1"/>
  <c r="N13" i="1" s="1"/>
  <c r="L12" i="1"/>
  <c r="J12" i="1"/>
  <c r="N12" i="1" s="1"/>
  <c r="L11" i="1"/>
  <c r="J11" i="1"/>
  <c r="N11" i="1" s="1"/>
  <c r="L10" i="1"/>
  <c r="J10" i="1"/>
  <c r="N10" i="1" s="1"/>
  <c r="L9" i="1"/>
  <c r="J9" i="1"/>
  <c r="N9" i="1" s="1"/>
  <c r="L8" i="1"/>
  <c r="J8" i="1"/>
  <c r="N8" i="1" s="1"/>
  <c r="L7" i="1"/>
  <c r="J7" i="1"/>
  <c r="N7" i="1" s="1"/>
  <c r="L6" i="1"/>
  <c r="J6" i="1"/>
  <c r="N6" i="1" s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7" i="5"/>
  <c r="I28" i="5"/>
  <c r="I29" i="5"/>
  <c r="I30" i="5"/>
  <c r="I31" i="5"/>
  <c r="I32" i="5"/>
  <c r="I33" i="5"/>
  <c r="I34" i="5"/>
</calcChain>
</file>

<file path=xl/sharedStrings.xml><?xml version="1.0" encoding="utf-8"?>
<sst xmlns="http://schemas.openxmlformats.org/spreadsheetml/2006/main" count="185" uniqueCount="120">
  <si>
    <t>Crimson College of Technology</t>
  </si>
  <si>
    <t>Devinagar, Butwal-11, Ruapndehi</t>
  </si>
  <si>
    <t>Date:……………….…………</t>
  </si>
  <si>
    <t>SN</t>
  </si>
  <si>
    <t>Symbol No</t>
  </si>
  <si>
    <t>Name</t>
  </si>
  <si>
    <t>Total Attendance [Kartik 25- Falgun -03]</t>
  </si>
  <si>
    <t>Attendance (3Marks)</t>
  </si>
  <si>
    <t>Assignments (5Marks)</t>
  </si>
  <si>
    <t>Unit Test (5Marks)</t>
  </si>
  <si>
    <t>Presentation (2Marks)</t>
  </si>
  <si>
    <t xml:space="preserve">Marks Obtained in First Term </t>
  </si>
  <si>
    <t>First Term Exam (10Marks)</t>
  </si>
  <si>
    <t>Send Up Exam Marks[100]</t>
  </si>
  <si>
    <t>Send-Up Marks After Conversion</t>
  </si>
  <si>
    <t>Grace Marks</t>
  </si>
  <si>
    <t>Total Marks (50%)</t>
  </si>
  <si>
    <t>……………………………..</t>
  </si>
  <si>
    <t>Lecturer Signature</t>
  </si>
  <si>
    <t>Program :BBA</t>
  </si>
  <si>
    <t>Semester : 8th</t>
  </si>
  <si>
    <t>Abin Bomrel</t>
  </si>
  <si>
    <t>Aliza Bhandari</t>
  </si>
  <si>
    <t>Anand Kumar Gound</t>
  </si>
  <si>
    <t>Anil Karki</t>
  </si>
  <si>
    <t>Anita Sejwal</t>
  </si>
  <si>
    <t>Anjana G.C</t>
  </si>
  <si>
    <t>Ashirbad Chaudhary</t>
  </si>
  <si>
    <t>Asmita Subedi</t>
  </si>
  <si>
    <t>Bijay Bahadur Tharu</t>
  </si>
  <si>
    <t>Bipina Bhandari</t>
  </si>
  <si>
    <t>Dipesh Pangeni</t>
  </si>
  <si>
    <t>Driksha Thapa</t>
  </si>
  <si>
    <t>Kusum Giri</t>
  </si>
  <si>
    <t>Manju Thapa</t>
  </si>
  <si>
    <t>Mohit Bhandari</t>
  </si>
  <si>
    <t>Muna Khanal</t>
  </si>
  <si>
    <t>Nilisha Gautam</t>
  </si>
  <si>
    <t>Prashant Yadav</t>
  </si>
  <si>
    <t>Rajani Gaire</t>
  </si>
  <si>
    <t>Ranjeta Thapa Saru Magar</t>
  </si>
  <si>
    <t>Roman Thapa</t>
  </si>
  <si>
    <t>Roshni B.K</t>
  </si>
  <si>
    <t>Rupa Palli Magar</t>
  </si>
  <si>
    <t>Samana Aryal</t>
  </si>
  <si>
    <t>Saurav Bhandari</t>
  </si>
  <si>
    <t>Shova Regmi</t>
  </si>
  <si>
    <t>Shriyansi Basnet</t>
  </si>
  <si>
    <t>Shushma Panth</t>
  </si>
  <si>
    <t>Sulav Bhandari</t>
  </si>
  <si>
    <t>Sumiksha Sharma</t>
  </si>
  <si>
    <t>Kriti Chaudhary</t>
  </si>
  <si>
    <t>Students'  Evaluation Sheet  Spring-2022</t>
  </si>
  <si>
    <t>Sub: IB</t>
  </si>
  <si>
    <t>Aiman Sunar</t>
  </si>
  <si>
    <t>Alina Saru Magar</t>
  </si>
  <si>
    <t>Alina Thapa</t>
  </si>
  <si>
    <t>Amshu Aryal</t>
  </si>
  <si>
    <t>Anju Pandey</t>
  </si>
  <si>
    <t>Bhawana Kunwar</t>
  </si>
  <si>
    <t>Bibek Khanal</t>
  </si>
  <si>
    <t>Bidur Gautam</t>
  </si>
  <si>
    <t>Bijay KC</t>
  </si>
  <si>
    <t>Bipana Panthi</t>
  </si>
  <si>
    <t>Dibakhar Adhikari</t>
  </si>
  <si>
    <t>Dikshya Ghimire</t>
  </si>
  <si>
    <t>Jyoti GC</t>
  </si>
  <si>
    <t>Karuna Bucha</t>
  </si>
  <si>
    <t>Kshitij Pachhai</t>
  </si>
  <si>
    <t>Manisha Giri</t>
  </si>
  <si>
    <t>Mausam Thapa Magar</t>
  </si>
  <si>
    <t>Nisma Thapa</t>
  </si>
  <si>
    <t>Prativa Gautam</t>
  </si>
  <si>
    <t>Puja Bhusal</t>
  </si>
  <si>
    <t>Puja Kumari Baniya</t>
  </si>
  <si>
    <t>Rabina Gurung</t>
  </si>
  <si>
    <t>Rupa Somai</t>
  </si>
  <si>
    <t>Sabina Palli</t>
  </si>
  <si>
    <t>Sahasra Khatri Chhetri</t>
  </si>
  <si>
    <t>Samiksha Gurung</t>
  </si>
  <si>
    <t>Samikshya Ghimire</t>
  </si>
  <si>
    <t>Samita Aryal</t>
  </si>
  <si>
    <t>Samjhana Chaudhary</t>
  </si>
  <si>
    <t>Sandeep Chaudhary</t>
  </si>
  <si>
    <t>Sapana Gurung</t>
  </si>
  <si>
    <t>Sayana Rana</t>
  </si>
  <si>
    <t>Sharisma Pemi</t>
  </si>
  <si>
    <t>Sirisa Rana</t>
  </si>
  <si>
    <t>Smriti Bhandari</t>
  </si>
  <si>
    <t>Sneha Bhattarai</t>
  </si>
  <si>
    <t>Sonika Neupane</t>
  </si>
  <si>
    <t>Srijana Dotel</t>
  </si>
  <si>
    <t>Sujata Pandey</t>
  </si>
  <si>
    <t>Suman paudel</t>
  </si>
  <si>
    <t xml:space="preserve">Bishal Ghimire </t>
  </si>
  <si>
    <t>Susmita Gharti</t>
  </si>
  <si>
    <t>Mira Thapa</t>
  </si>
  <si>
    <t>Santosh Pandey</t>
  </si>
  <si>
    <t>Khemraj Ghimire</t>
  </si>
  <si>
    <t xml:space="preserve">Semester : BBA VII A </t>
  </si>
  <si>
    <t>Sub: Bank Operations Management</t>
  </si>
  <si>
    <t>Date:2081/11/25</t>
  </si>
  <si>
    <t>Students'  Evaluation Sheet  Fall 2024</t>
  </si>
  <si>
    <t xml:space="preserve">Attendance [5] </t>
  </si>
  <si>
    <t>Discipline [5]</t>
  </si>
  <si>
    <t>Assignment [5]</t>
  </si>
  <si>
    <t>Presentation/Project [5]</t>
  </si>
  <si>
    <t>Mid Term</t>
  </si>
  <si>
    <t>Mid Term Marks After Conversion [10]</t>
  </si>
  <si>
    <t xml:space="preserve">Final Term  </t>
  </si>
  <si>
    <t>Final Term Marks After Conversion [20]</t>
  </si>
  <si>
    <t>Total Marks [50]</t>
  </si>
  <si>
    <t>Abscent</t>
  </si>
  <si>
    <t>NQ</t>
  </si>
  <si>
    <t>CNR</t>
  </si>
  <si>
    <t>S.N.</t>
  </si>
  <si>
    <t>Symbol Number</t>
  </si>
  <si>
    <t>Marks Total [100]</t>
  </si>
  <si>
    <t>Grade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</si>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</sst>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10"/>
      <color theme="1"/>
      <name val="Cambria"/>
      <family val="1"/>
    </font>
    <font>
      <b/>
      <sz val="14"/>
      <name val="Agency FB"/>
      <family val="2"/>
    </font>
    <font>
      <b/>
      <sz val="12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i/>
      <sz val="11"/>
      <color theme="1"/>
      <name val="Calibri"/>
      <family val="2"/>
      <scheme val="minor"/>
    </font>
    <font>
      <sz val="10"/>
      <name val="Arial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8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0" fillId="2" borderId="8" xfId="0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17" fillId="2" borderId="0" xfId="0" applyFont="1" applyFill="1"/>
    <xf numFmtId="0" fontId="17" fillId="0" borderId="0" xfId="0" applyFont="1"/>
    <xf numFmtId="0" fontId="16" fillId="2" borderId="0" xfId="0" applyFont="1" applyFill="1"/>
    <xf numFmtId="0" fontId="18" fillId="2" borderId="2" xfId="0" applyFont="1" applyFill="1" applyBorder="1" applyAlignment="1">
      <alignment horizontal="center" vertical="top"/>
    </xf>
    <xf numFmtId="0" fontId="18" fillId="2" borderId="3" xfId="0" applyFont="1" applyFill="1" applyBorder="1" applyAlignment="1">
      <alignment horizontal="center" vertical="top" wrapText="1"/>
    </xf>
    <xf numFmtId="0" fontId="17" fillId="2" borderId="6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3" xfId="0" applyFont="1" applyBorder="1"/>
    <xf numFmtId="0" fontId="17" fillId="2" borderId="3" xfId="0" applyFont="1" applyFill="1" applyBorder="1" applyAlignment="1">
      <alignment horizontal="center"/>
    </xf>
    <xf numFmtId="0" fontId="19" fillId="0" borderId="3" xfId="0" applyFont="1" applyBorder="1" applyAlignment="1">
      <alignment horizontal="center"/>
    </xf>
    <xf numFmtId="1" fontId="17" fillId="2" borderId="7" xfId="0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17" fillId="2" borderId="3" xfId="0" applyFont="1" applyFill="1" applyBorder="1"/>
    <xf numFmtId="0" fontId="16" fillId="0" borderId="3" xfId="0" applyFont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1" fontId="17" fillId="3" borderId="7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3" xfId="0" applyFont="1" applyFill="1" applyBorder="1" applyAlignment="1">
      <alignment horizontal="center"/>
    </xf>
    <xf numFmtId="0" fontId="17" fillId="3" borderId="0" xfId="0" applyFont="1" applyFill="1"/>
    <xf numFmtId="0" fontId="17" fillId="3" borderId="8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1" fontId="17" fillId="3" borderId="3" xfId="0" applyNumberFormat="1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8" fillId="2" borderId="1" xfId="0" applyFont="1" applyFill="1" applyBorder="1" applyAlignment="1">
      <alignment horizontal="left"/>
    </xf>
    <xf numFmtId="0" fontId="17" fillId="2" borderId="0" xfId="0" applyFont="1" applyFill="1" applyBorder="1" applyAlignment="1"/>
    <xf numFmtId="0" fontId="16" fillId="2" borderId="0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787884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2</xdr:row>
      <xdr:rowOff>174187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5366" cy="6694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573839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386266</xdr:colOff>
      <xdr:row>2</xdr:row>
      <xdr:rowOff>97987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517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2"/>
  <sheetViews>
    <sheetView workbookViewId="0">
      <selection activeCell="F4" sqref="F4"/>
    </sheetView>
  </sheetViews>
  <sheetFormatPr defaultRowHeight="15" x14ac:dyDescent="0.25"/>
  <cols>
    <col min="3" max="3" width="27.140625" customWidth="1"/>
  </cols>
  <sheetData>
    <row r="1" spans="1:20" ht="16.5" x14ac:dyDescent="0.2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1"/>
      <c r="P1" s="1"/>
      <c r="Q1" s="1"/>
      <c r="R1" s="1"/>
      <c r="S1" s="1"/>
      <c r="T1" s="1"/>
    </row>
    <row r="2" spans="1:20" x14ac:dyDescent="0.25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1"/>
      <c r="P2" s="1"/>
      <c r="Q2" s="1"/>
      <c r="R2" s="1"/>
      <c r="S2" s="1"/>
      <c r="T2" s="1"/>
    </row>
    <row r="3" spans="1:20" ht="19.5" x14ac:dyDescent="0.3">
      <c r="A3" s="51" t="s">
        <v>52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1"/>
      <c r="P3" s="1"/>
      <c r="Q3" s="1"/>
      <c r="R3" s="1"/>
      <c r="S3" s="1"/>
      <c r="T3" s="1"/>
    </row>
    <row r="4" spans="1:20" ht="16.5" thickBot="1" x14ac:dyDescent="0.3">
      <c r="A4" s="52" t="s">
        <v>19</v>
      </c>
      <c r="B4" s="53"/>
      <c r="C4" s="54" t="s">
        <v>20</v>
      </c>
      <c r="D4" s="55"/>
      <c r="E4" s="55"/>
      <c r="F4" s="2" t="s">
        <v>53</v>
      </c>
      <c r="G4" s="3"/>
      <c r="H4" s="4"/>
      <c r="I4" s="3"/>
      <c r="J4" s="3"/>
      <c r="K4" s="3"/>
      <c r="L4" s="5" t="s">
        <v>2</v>
      </c>
      <c r="M4" s="3"/>
      <c r="N4" s="3"/>
      <c r="O4" s="1"/>
      <c r="P4" s="1"/>
      <c r="Q4" s="1"/>
      <c r="R4" s="1"/>
      <c r="S4" s="1"/>
      <c r="T4" s="1"/>
    </row>
    <row r="5" spans="1:20" ht="57" thickBot="1" x14ac:dyDescent="0.3">
      <c r="A5" s="6" t="s">
        <v>3</v>
      </c>
      <c r="B5" s="7" t="s">
        <v>4</v>
      </c>
      <c r="C5" s="8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15" t="s">
        <v>12</v>
      </c>
      <c r="K5" s="17" t="s">
        <v>13</v>
      </c>
      <c r="L5" s="16" t="s">
        <v>14</v>
      </c>
      <c r="M5" s="9" t="s">
        <v>15</v>
      </c>
      <c r="N5" s="9" t="s">
        <v>16</v>
      </c>
      <c r="O5" s="1"/>
      <c r="P5" s="1"/>
      <c r="Q5" s="1"/>
      <c r="R5" s="1"/>
      <c r="S5" s="1"/>
      <c r="T5" s="1"/>
    </row>
    <row r="6" spans="1:20" x14ac:dyDescent="0.25">
      <c r="A6" s="10">
        <v>1</v>
      </c>
      <c r="B6" s="21">
        <v>19030095</v>
      </c>
      <c r="C6" s="22" t="s">
        <v>21</v>
      </c>
      <c r="D6" s="11"/>
      <c r="E6" s="12">
        <v>3</v>
      </c>
      <c r="F6" s="12">
        <v>5</v>
      </c>
      <c r="G6" s="12">
        <v>5</v>
      </c>
      <c r="H6" s="12">
        <v>2</v>
      </c>
      <c r="I6" s="13"/>
      <c r="J6" s="13">
        <f>I6/5</f>
        <v>0</v>
      </c>
      <c r="K6" s="18"/>
      <c r="L6" s="12">
        <f>K6/4</f>
        <v>0</v>
      </c>
      <c r="M6" s="12"/>
      <c r="N6" s="14">
        <f>E6+F6+G6+H6+J6+L6</f>
        <v>15</v>
      </c>
      <c r="O6" s="1"/>
      <c r="P6" s="1"/>
      <c r="Q6" s="1"/>
      <c r="R6" s="1"/>
      <c r="S6" s="1"/>
      <c r="T6" s="1"/>
    </row>
    <row r="7" spans="1:20" x14ac:dyDescent="0.25">
      <c r="A7" s="10">
        <v>2</v>
      </c>
      <c r="B7" s="21">
        <v>19030096</v>
      </c>
      <c r="C7" s="22" t="s">
        <v>22</v>
      </c>
      <c r="D7" s="11"/>
      <c r="E7" s="12">
        <v>3</v>
      </c>
      <c r="F7" s="12">
        <v>5</v>
      </c>
      <c r="G7" s="12">
        <v>5</v>
      </c>
      <c r="H7" s="12">
        <v>2</v>
      </c>
      <c r="I7" s="13"/>
      <c r="J7" s="13">
        <f t="shared" ref="J7:J36" si="0">I7/5</f>
        <v>0</v>
      </c>
      <c r="K7" s="12"/>
      <c r="L7" s="12">
        <f t="shared" ref="L7:L36" si="1">K7/4</f>
        <v>0</v>
      </c>
      <c r="M7" s="12"/>
      <c r="N7" s="14">
        <f t="shared" ref="N7:N36" si="2">E7+F7+G7+H7+J7+L7</f>
        <v>15</v>
      </c>
      <c r="O7" s="1"/>
      <c r="P7" s="1"/>
      <c r="Q7" s="1"/>
      <c r="R7" s="1"/>
      <c r="S7" s="1"/>
      <c r="T7" s="1"/>
    </row>
    <row r="8" spans="1:20" x14ac:dyDescent="0.25">
      <c r="A8" s="10">
        <v>3</v>
      </c>
      <c r="B8" s="21">
        <v>19030097</v>
      </c>
      <c r="C8" s="22" t="s">
        <v>23</v>
      </c>
      <c r="D8" s="11"/>
      <c r="E8" s="12">
        <v>3</v>
      </c>
      <c r="F8" s="12">
        <v>5</v>
      </c>
      <c r="G8" s="12">
        <v>5</v>
      </c>
      <c r="H8" s="12">
        <v>2</v>
      </c>
      <c r="I8" s="13"/>
      <c r="J8" s="13">
        <f t="shared" si="0"/>
        <v>0</v>
      </c>
      <c r="K8" s="12"/>
      <c r="L8" s="12">
        <f t="shared" si="1"/>
        <v>0</v>
      </c>
      <c r="M8" s="12"/>
      <c r="N8" s="14">
        <f t="shared" si="2"/>
        <v>15</v>
      </c>
      <c r="O8" s="1"/>
      <c r="P8" s="1"/>
      <c r="Q8" s="1"/>
      <c r="R8" s="1"/>
      <c r="S8" s="1"/>
      <c r="T8" s="1"/>
    </row>
    <row r="9" spans="1:20" x14ac:dyDescent="0.25">
      <c r="A9" s="10">
        <v>4</v>
      </c>
      <c r="B9" s="21">
        <v>19030098</v>
      </c>
      <c r="C9" s="22" t="s">
        <v>24</v>
      </c>
      <c r="D9" s="11"/>
      <c r="E9" s="12">
        <v>3</v>
      </c>
      <c r="F9" s="12">
        <v>5</v>
      </c>
      <c r="G9" s="12">
        <v>5</v>
      </c>
      <c r="H9" s="12">
        <v>2</v>
      </c>
      <c r="I9" s="13"/>
      <c r="J9" s="13">
        <f t="shared" si="0"/>
        <v>0</v>
      </c>
      <c r="K9" s="12"/>
      <c r="L9" s="12">
        <f t="shared" si="1"/>
        <v>0</v>
      </c>
      <c r="M9" s="12"/>
      <c r="N9" s="14">
        <f t="shared" si="2"/>
        <v>15</v>
      </c>
      <c r="O9" s="1"/>
      <c r="P9" s="1"/>
      <c r="Q9" s="1"/>
      <c r="R9" s="1"/>
      <c r="S9" s="1"/>
      <c r="T9" s="1"/>
    </row>
    <row r="10" spans="1:20" x14ac:dyDescent="0.25">
      <c r="A10" s="10">
        <v>5</v>
      </c>
      <c r="B10" s="21">
        <v>19030099</v>
      </c>
      <c r="C10" s="22" t="s">
        <v>25</v>
      </c>
      <c r="D10" s="11"/>
      <c r="E10" s="12">
        <v>3</v>
      </c>
      <c r="F10" s="12">
        <v>5</v>
      </c>
      <c r="G10" s="12">
        <v>5</v>
      </c>
      <c r="H10" s="12">
        <v>2</v>
      </c>
      <c r="I10" s="13"/>
      <c r="J10" s="13">
        <f t="shared" si="0"/>
        <v>0</v>
      </c>
      <c r="K10" s="12"/>
      <c r="L10" s="12">
        <f t="shared" si="1"/>
        <v>0</v>
      </c>
      <c r="M10" s="12"/>
      <c r="N10" s="14">
        <f t="shared" si="2"/>
        <v>15</v>
      </c>
      <c r="O10" s="1"/>
      <c r="P10" s="1"/>
      <c r="Q10" s="1"/>
      <c r="R10" s="1"/>
      <c r="S10" s="1"/>
      <c r="T10" s="1"/>
    </row>
    <row r="11" spans="1:20" x14ac:dyDescent="0.25">
      <c r="A11" s="10">
        <v>6</v>
      </c>
      <c r="B11" s="21">
        <v>19030100</v>
      </c>
      <c r="C11" s="22" t="s">
        <v>26</v>
      </c>
      <c r="D11" s="11"/>
      <c r="E11" s="12">
        <v>3</v>
      </c>
      <c r="F11" s="12">
        <v>5</v>
      </c>
      <c r="G11" s="12">
        <v>5</v>
      </c>
      <c r="H11" s="12">
        <v>2</v>
      </c>
      <c r="I11" s="13"/>
      <c r="J11" s="13">
        <f t="shared" si="0"/>
        <v>0</v>
      </c>
      <c r="K11" s="12"/>
      <c r="L11" s="12">
        <f t="shared" si="1"/>
        <v>0</v>
      </c>
      <c r="M11" s="12"/>
      <c r="N11" s="14">
        <f t="shared" si="2"/>
        <v>15</v>
      </c>
      <c r="O11" s="1"/>
      <c r="P11" s="1"/>
      <c r="Q11" s="1"/>
      <c r="R11" s="1"/>
      <c r="S11" s="1"/>
      <c r="T11" s="1"/>
    </row>
    <row r="12" spans="1:20" x14ac:dyDescent="0.25">
      <c r="A12" s="10">
        <v>7</v>
      </c>
      <c r="B12" s="21">
        <v>19030102</v>
      </c>
      <c r="C12" s="22" t="s">
        <v>27</v>
      </c>
      <c r="D12" s="11"/>
      <c r="E12" s="12">
        <v>3</v>
      </c>
      <c r="F12" s="12">
        <v>5</v>
      </c>
      <c r="G12" s="12">
        <v>5</v>
      </c>
      <c r="H12" s="12">
        <v>2</v>
      </c>
      <c r="I12" s="13"/>
      <c r="J12" s="13">
        <f t="shared" si="0"/>
        <v>0</v>
      </c>
      <c r="K12" s="12"/>
      <c r="L12" s="12">
        <f t="shared" si="1"/>
        <v>0</v>
      </c>
      <c r="M12" s="12"/>
      <c r="N12" s="14">
        <f t="shared" si="2"/>
        <v>15</v>
      </c>
      <c r="O12" s="1"/>
      <c r="P12" s="1"/>
      <c r="Q12" s="1"/>
      <c r="R12" s="1"/>
      <c r="S12" s="1"/>
      <c r="T12" s="1"/>
    </row>
    <row r="13" spans="1:20" x14ac:dyDescent="0.25">
      <c r="A13" s="10">
        <v>8</v>
      </c>
      <c r="B13" s="21">
        <v>19030103</v>
      </c>
      <c r="C13" s="22" t="s">
        <v>28</v>
      </c>
      <c r="D13" s="11"/>
      <c r="E13" s="12">
        <v>3</v>
      </c>
      <c r="F13" s="12">
        <v>5</v>
      </c>
      <c r="G13" s="12">
        <v>5</v>
      </c>
      <c r="H13" s="12">
        <v>2</v>
      </c>
      <c r="I13" s="13"/>
      <c r="J13" s="13">
        <f t="shared" si="0"/>
        <v>0</v>
      </c>
      <c r="K13" s="20"/>
      <c r="L13" s="12">
        <f t="shared" si="1"/>
        <v>0</v>
      </c>
      <c r="M13" s="12"/>
      <c r="N13" s="14">
        <f t="shared" si="2"/>
        <v>15</v>
      </c>
      <c r="O13" s="1"/>
      <c r="P13" s="1"/>
      <c r="Q13" s="1"/>
      <c r="R13" s="1"/>
      <c r="S13" s="1"/>
      <c r="T13" s="1"/>
    </row>
    <row r="14" spans="1:20" x14ac:dyDescent="0.25">
      <c r="A14" s="10">
        <v>9</v>
      </c>
      <c r="B14" s="21">
        <v>19030104</v>
      </c>
      <c r="C14" s="22" t="s">
        <v>29</v>
      </c>
      <c r="D14" s="11"/>
      <c r="E14" s="12">
        <v>3</v>
      </c>
      <c r="F14" s="12">
        <v>5</v>
      </c>
      <c r="G14" s="12">
        <v>5</v>
      </c>
      <c r="H14" s="12">
        <v>2</v>
      </c>
      <c r="I14" s="13"/>
      <c r="J14" s="13">
        <f t="shared" si="0"/>
        <v>0</v>
      </c>
      <c r="K14" s="20"/>
      <c r="L14" s="12">
        <f t="shared" si="1"/>
        <v>0</v>
      </c>
      <c r="M14" s="12"/>
      <c r="N14" s="14">
        <f t="shared" si="2"/>
        <v>15</v>
      </c>
      <c r="O14" s="1"/>
      <c r="P14" s="1"/>
      <c r="Q14" s="1"/>
      <c r="R14" s="1"/>
      <c r="S14" s="1"/>
      <c r="T14" s="1"/>
    </row>
    <row r="15" spans="1:20" x14ac:dyDescent="0.25">
      <c r="A15" s="10">
        <v>10</v>
      </c>
      <c r="B15" s="21">
        <v>19030105</v>
      </c>
      <c r="C15" s="22" t="s">
        <v>30</v>
      </c>
      <c r="D15" s="11"/>
      <c r="E15" s="12">
        <v>3</v>
      </c>
      <c r="F15" s="12">
        <v>5</v>
      </c>
      <c r="G15" s="12">
        <v>5</v>
      </c>
      <c r="H15" s="12">
        <v>2</v>
      </c>
      <c r="I15" s="13"/>
      <c r="J15" s="13">
        <f t="shared" si="0"/>
        <v>0</v>
      </c>
      <c r="K15" s="19"/>
      <c r="L15" s="12">
        <f t="shared" si="1"/>
        <v>0</v>
      </c>
      <c r="M15" s="12"/>
      <c r="N15" s="14">
        <f t="shared" si="2"/>
        <v>15</v>
      </c>
      <c r="O15" s="1"/>
      <c r="P15" s="1"/>
      <c r="Q15" s="1"/>
      <c r="R15" s="1"/>
      <c r="S15" s="1"/>
      <c r="T15" s="1"/>
    </row>
    <row r="16" spans="1:20" x14ac:dyDescent="0.25">
      <c r="A16" s="10">
        <v>11</v>
      </c>
      <c r="B16" s="21">
        <v>19030106</v>
      </c>
      <c r="C16" s="22" t="s">
        <v>31</v>
      </c>
      <c r="D16" s="11"/>
      <c r="E16" s="12">
        <v>3</v>
      </c>
      <c r="F16" s="12">
        <v>5</v>
      </c>
      <c r="G16" s="12">
        <v>5</v>
      </c>
      <c r="H16" s="12">
        <v>2</v>
      </c>
      <c r="I16" s="13"/>
      <c r="J16" s="13">
        <f t="shared" si="0"/>
        <v>0</v>
      </c>
      <c r="K16" s="20"/>
      <c r="L16" s="12">
        <f t="shared" si="1"/>
        <v>0</v>
      </c>
      <c r="M16" s="12"/>
      <c r="N16" s="14">
        <f t="shared" si="2"/>
        <v>15</v>
      </c>
      <c r="O16" s="1"/>
      <c r="P16" s="1"/>
      <c r="Q16" s="1"/>
      <c r="R16" s="1"/>
      <c r="S16" s="1"/>
      <c r="T16" s="1"/>
    </row>
    <row r="17" spans="1:20" x14ac:dyDescent="0.25">
      <c r="A17" s="10">
        <v>12</v>
      </c>
      <c r="B17" s="21">
        <v>19030107</v>
      </c>
      <c r="C17" s="22" t="s">
        <v>32</v>
      </c>
      <c r="D17" s="11"/>
      <c r="E17" s="12">
        <v>3</v>
      </c>
      <c r="F17" s="12">
        <v>5</v>
      </c>
      <c r="G17" s="12">
        <v>5</v>
      </c>
      <c r="H17" s="12">
        <v>2</v>
      </c>
      <c r="I17" s="13"/>
      <c r="J17" s="13">
        <f t="shared" si="0"/>
        <v>0</v>
      </c>
      <c r="K17" s="19"/>
      <c r="L17" s="12">
        <f t="shared" si="1"/>
        <v>0</v>
      </c>
      <c r="M17" s="12"/>
      <c r="N17" s="14">
        <f t="shared" si="2"/>
        <v>15</v>
      </c>
      <c r="O17" s="1"/>
      <c r="P17" s="1"/>
      <c r="Q17" s="1"/>
      <c r="R17" s="1"/>
      <c r="S17" s="1"/>
      <c r="T17" s="1"/>
    </row>
    <row r="18" spans="1:20" x14ac:dyDescent="0.25">
      <c r="A18" s="10">
        <v>13</v>
      </c>
      <c r="B18" s="21">
        <v>19030110</v>
      </c>
      <c r="C18" s="22" t="s">
        <v>33</v>
      </c>
      <c r="D18" s="11"/>
      <c r="E18" s="12">
        <v>3</v>
      </c>
      <c r="F18" s="12">
        <v>5</v>
      </c>
      <c r="G18" s="12">
        <v>5</v>
      </c>
      <c r="H18" s="12">
        <v>2</v>
      </c>
      <c r="I18" s="13"/>
      <c r="J18" s="13">
        <f t="shared" si="0"/>
        <v>0</v>
      </c>
      <c r="K18" s="20"/>
      <c r="L18" s="12">
        <f t="shared" si="1"/>
        <v>0</v>
      </c>
      <c r="M18" s="12"/>
      <c r="N18" s="14">
        <f t="shared" si="2"/>
        <v>15</v>
      </c>
      <c r="O18" s="1"/>
      <c r="P18" s="1"/>
      <c r="Q18" s="1"/>
      <c r="R18" s="1"/>
      <c r="S18" s="1"/>
      <c r="T18" s="1"/>
    </row>
    <row r="19" spans="1:20" x14ac:dyDescent="0.25">
      <c r="A19" s="10">
        <v>14</v>
      </c>
      <c r="B19" s="21">
        <v>19030112</v>
      </c>
      <c r="C19" s="22" t="s">
        <v>34</v>
      </c>
      <c r="D19" s="11"/>
      <c r="E19" s="12">
        <v>3</v>
      </c>
      <c r="F19" s="12">
        <v>5</v>
      </c>
      <c r="G19" s="12">
        <v>5</v>
      </c>
      <c r="H19" s="12">
        <v>2</v>
      </c>
      <c r="I19" s="13"/>
      <c r="J19" s="13">
        <f t="shared" si="0"/>
        <v>0</v>
      </c>
      <c r="K19" s="19"/>
      <c r="L19" s="12">
        <f t="shared" si="1"/>
        <v>0</v>
      </c>
      <c r="M19" s="12"/>
      <c r="N19" s="14">
        <f t="shared" si="2"/>
        <v>15</v>
      </c>
      <c r="O19" s="1"/>
      <c r="P19" s="1"/>
      <c r="Q19" s="1"/>
      <c r="R19" s="1"/>
      <c r="S19" s="1"/>
      <c r="T19" s="1"/>
    </row>
    <row r="20" spans="1:20" x14ac:dyDescent="0.25">
      <c r="A20" s="10">
        <v>15</v>
      </c>
      <c r="B20" s="21">
        <v>19030113</v>
      </c>
      <c r="C20" s="22" t="s">
        <v>35</v>
      </c>
      <c r="D20" s="11"/>
      <c r="E20" s="12">
        <v>3</v>
      </c>
      <c r="F20" s="12">
        <v>5</v>
      </c>
      <c r="G20" s="12">
        <v>5</v>
      </c>
      <c r="H20" s="12">
        <v>2</v>
      </c>
      <c r="I20" s="13"/>
      <c r="J20" s="13">
        <f t="shared" si="0"/>
        <v>0</v>
      </c>
      <c r="K20" s="19"/>
      <c r="L20" s="12">
        <f t="shared" si="1"/>
        <v>0</v>
      </c>
      <c r="M20" s="12"/>
      <c r="N20" s="14">
        <f t="shared" si="2"/>
        <v>15</v>
      </c>
      <c r="O20" s="1"/>
      <c r="P20" s="1"/>
      <c r="Q20" s="1"/>
      <c r="R20" s="1"/>
      <c r="S20" s="1"/>
      <c r="T20" s="1"/>
    </row>
    <row r="21" spans="1:20" x14ac:dyDescent="0.25">
      <c r="A21" s="10">
        <v>16</v>
      </c>
      <c r="B21" s="21">
        <v>19030114</v>
      </c>
      <c r="C21" s="22" t="s">
        <v>36</v>
      </c>
      <c r="D21" s="11"/>
      <c r="E21" s="12">
        <v>3</v>
      </c>
      <c r="F21" s="12">
        <v>5</v>
      </c>
      <c r="G21" s="12">
        <v>5</v>
      </c>
      <c r="H21" s="12">
        <v>2</v>
      </c>
      <c r="I21" s="13"/>
      <c r="J21" s="13">
        <f t="shared" si="0"/>
        <v>0</v>
      </c>
      <c r="K21" s="20"/>
      <c r="L21" s="12">
        <f t="shared" si="1"/>
        <v>0</v>
      </c>
      <c r="M21" s="12"/>
      <c r="N21" s="14">
        <f t="shared" si="2"/>
        <v>15</v>
      </c>
      <c r="O21" s="1"/>
      <c r="P21" s="1"/>
      <c r="Q21" s="1"/>
      <c r="R21" s="1"/>
      <c r="S21" s="1"/>
      <c r="T21" s="1"/>
    </row>
    <row r="22" spans="1:20" x14ac:dyDescent="0.25">
      <c r="A22" s="10">
        <v>17</v>
      </c>
      <c r="B22" s="21">
        <v>19030115</v>
      </c>
      <c r="C22" s="22" t="s">
        <v>37</v>
      </c>
      <c r="D22" s="11"/>
      <c r="E22" s="12">
        <v>3</v>
      </c>
      <c r="F22" s="12">
        <v>5</v>
      </c>
      <c r="G22" s="12">
        <v>5</v>
      </c>
      <c r="H22" s="12">
        <v>2</v>
      </c>
      <c r="I22" s="13"/>
      <c r="J22" s="13">
        <f t="shared" si="0"/>
        <v>0</v>
      </c>
      <c r="K22" s="20"/>
      <c r="L22" s="12">
        <f t="shared" si="1"/>
        <v>0</v>
      </c>
      <c r="M22" s="12"/>
      <c r="N22" s="14">
        <f t="shared" si="2"/>
        <v>15</v>
      </c>
      <c r="O22" s="1"/>
      <c r="P22" s="1"/>
      <c r="Q22" s="1"/>
      <c r="R22" s="1"/>
      <c r="S22" s="1"/>
      <c r="T22" s="1"/>
    </row>
    <row r="23" spans="1:20" x14ac:dyDescent="0.25">
      <c r="A23" s="10">
        <v>18</v>
      </c>
      <c r="B23" s="21">
        <v>19030117</v>
      </c>
      <c r="C23" s="22" t="s">
        <v>38</v>
      </c>
      <c r="D23" s="11"/>
      <c r="E23" s="12">
        <v>3</v>
      </c>
      <c r="F23" s="12">
        <v>5</v>
      </c>
      <c r="G23" s="12">
        <v>5</v>
      </c>
      <c r="H23" s="12">
        <v>2</v>
      </c>
      <c r="I23" s="13"/>
      <c r="J23" s="13">
        <f t="shared" si="0"/>
        <v>0</v>
      </c>
      <c r="K23" s="19"/>
      <c r="L23" s="12">
        <f t="shared" si="1"/>
        <v>0</v>
      </c>
      <c r="M23" s="12"/>
      <c r="N23" s="14">
        <f t="shared" si="2"/>
        <v>15</v>
      </c>
      <c r="O23" s="1"/>
      <c r="P23" s="1"/>
      <c r="Q23" s="1"/>
      <c r="R23" s="1"/>
      <c r="S23" s="1"/>
      <c r="T23" s="1"/>
    </row>
    <row r="24" spans="1:20" x14ac:dyDescent="0.25">
      <c r="A24" s="10">
        <v>19</v>
      </c>
      <c r="B24" s="21">
        <v>19030118</v>
      </c>
      <c r="C24" s="22" t="s">
        <v>39</v>
      </c>
      <c r="D24" s="11"/>
      <c r="E24" s="12">
        <v>3</v>
      </c>
      <c r="F24" s="12">
        <v>5</v>
      </c>
      <c r="G24" s="12">
        <v>5</v>
      </c>
      <c r="H24" s="12">
        <v>2</v>
      </c>
      <c r="I24" s="13"/>
      <c r="J24" s="13">
        <f t="shared" si="0"/>
        <v>0</v>
      </c>
      <c r="K24" s="20"/>
      <c r="L24" s="12">
        <f t="shared" si="1"/>
        <v>0</v>
      </c>
      <c r="M24" s="12"/>
      <c r="N24" s="14">
        <f t="shared" si="2"/>
        <v>15</v>
      </c>
      <c r="O24" s="1"/>
      <c r="P24" s="1"/>
      <c r="Q24" s="1"/>
      <c r="R24" s="1"/>
      <c r="S24" s="1"/>
      <c r="T24" s="1"/>
    </row>
    <row r="25" spans="1:20" x14ac:dyDescent="0.25">
      <c r="A25" s="10">
        <v>20</v>
      </c>
      <c r="B25" s="21">
        <v>19030119</v>
      </c>
      <c r="C25" s="22" t="s">
        <v>40</v>
      </c>
      <c r="D25" s="11"/>
      <c r="E25" s="12">
        <v>3</v>
      </c>
      <c r="F25" s="12">
        <v>5</v>
      </c>
      <c r="G25" s="12">
        <v>5</v>
      </c>
      <c r="H25" s="12">
        <v>2</v>
      </c>
      <c r="I25" s="13"/>
      <c r="J25" s="13">
        <f t="shared" si="0"/>
        <v>0</v>
      </c>
      <c r="K25" s="19"/>
      <c r="L25" s="12">
        <f t="shared" si="1"/>
        <v>0</v>
      </c>
      <c r="M25" s="12"/>
      <c r="N25" s="14">
        <f t="shared" si="2"/>
        <v>15</v>
      </c>
      <c r="O25" s="1"/>
      <c r="P25" s="1"/>
      <c r="Q25" s="1"/>
      <c r="R25" s="1"/>
      <c r="S25" s="1"/>
      <c r="T25" s="1"/>
    </row>
    <row r="26" spans="1:20" x14ac:dyDescent="0.25">
      <c r="A26" s="10">
        <v>21</v>
      </c>
      <c r="B26" s="21">
        <v>19030120</v>
      </c>
      <c r="C26" s="22" t="s">
        <v>41</v>
      </c>
      <c r="D26" s="11"/>
      <c r="E26" s="12">
        <v>3</v>
      </c>
      <c r="F26" s="12">
        <v>5</v>
      </c>
      <c r="G26" s="12">
        <v>5</v>
      </c>
      <c r="H26" s="12">
        <v>2</v>
      </c>
      <c r="I26" s="13"/>
      <c r="J26" s="13">
        <f t="shared" si="0"/>
        <v>0</v>
      </c>
      <c r="K26" s="19"/>
      <c r="L26" s="12">
        <f t="shared" si="1"/>
        <v>0</v>
      </c>
      <c r="M26" s="12"/>
      <c r="N26" s="14">
        <f t="shared" si="2"/>
        <v>15</v>
      </c>
      <c r="O26" s="1"/>
      <c r="P26" s="1"/>
      <c r="Q26" s="1"/>
      <c r="R26" s="1"/>
      <c r="S26" s="1"/>
      <c r="T26" s="1"/>
    </row>
    <row r="27" spans="1:20" x14ac:dyDescent="0.25">
      <c r="A27" s="10">
        <v>22</v>
      </c>
      <c r="B27" s="21">
        <v>19030121</v>
      </c>
      <c r="C27" s="22" t="s">
        <v>42</v>
      </c>
      <c r="D27" s="11"/>
      <c r="E27" s="12">
        <v>3</v>
      </c>
      <c r="F27" s="12">
        <v>5</v>
      </c>
      <c r="G27" s="12">
        <v>5</v>
      </c>
      <c r="H27" s="12">
        <v>2</v>
      </c>
      <c r="I27" s="13"/>
      <c r="J27" s="13">
        <f t="shared" si="0"/>
        <v>0</v>
      </c>
      <c r="K27" s="20"/>
      <c r="L27" s="12">
        <f t="shared" si="1"/>
        <v>0</v>
      </c>
      <c r="M27" s="12"/>
      <c r="N27" s="14">
        <f t="shared" si="2"/>
        <v>15</v>
      </c>
      <c r="O27" s="1"/>
      <c r="P27" s="1"/>
      <c r="Q27" s="1"/>
      <c r="R27" s="1"/>
      <c r="S27" s="1"/>
      <c r="T27" s="1"/>
    </row>
    <row r="28" spans="1:20" x14ac:dyDescent="0.25">
      <c r="A28" s="10">
        <v>23</v>
      </c>
      <c r="B28" s="21">
        <v>19030122</v>
      </c>
      <c r="C28" s="22" t="s">
        <v>43</v>
      </c>
      <c r="D28" s="11"/>
      <c r="E28" s="12">
        <v>3</v>
      </c>
      <c r="F28" s="12">
        <v>5</v>
      </c>
      <c r="G28" s="12">
        <v>5</v>
      </c>
      <c r="H28" s="12">
        <v>2</v>
      </c>
      <c r="I28" s="13"/>
      <c r="J28" s="13">
        <f t="shared" si="0"/>
        <v>0</v>
      </c>
      <c r="K28" s="20"/>
      <c r="L28" s="12">
        <f t="shared" si="1"/>
        <v>0</v>
      </c>
      <c r="M28" s="12"/>
      <c r="N28" s="14">
        <f t="shared" si="2"/>
        <v>15</v>
      </c>
      <c r="O28" s="1"/>
      <c r="P28" s="1"/>
      <c r="Q28" s="1"/>
      <c r="R28" s="1"/>
      <c r="S28" s="1"/>
      <c r="T28" s="1"/>
    </row>
    <row r="29" spans="1:20" x14ac:dyDescent="0.25">
      <c r="A29" s="10">
        <v>24</v>
      </c>
      <c r="B29" s="21">
        <v>19030124</v>
      </c>
      <c r="C29" s="22" t="s">
        <v>44</v>
      </c>
      <c r="D29" s="11"/>
      <c r="E29" s="12">
        <v>3</v>
      </c>
      <c r="F29" s="12">
        <v>5</v>
      </c>
      <c r="G29" s="12">
        <v>5</v>
      </c>
      <c r="H29" s="12">
        <v>2</v>
      </c>
      <c r="I29" s="13"/>
      <c r="J29" s="13">
        <f t="shared" si="0"/>
        <v>0</v>
      </c>
      <c r="K29" s="19"/>
      <c r="L29" s="12">
        <f t="shared" si="1"/>
        <v>0</v>
      </c>
      <c r="M29" s="12"/>
      <c r="N29" s="14">
        <f t="shared" si="2"/>
        <v>15</v>
      </c>
      <c r="O29" s="1"/>
      <c r="P29" s="1"/>
      <c r="Q29" s="1"/>
      <c r="R29" s="1"/>
      <c r="S29" s="1"/>
      <c r="T29" s="1"/>
    </row>
    <row r="30" spans="1:20" x14ac:dyDescent="0.25">
      <c r="A30" s="10">
        <v>25</v>
      </c>
      <c r="B30" s="21">
        <v>19030126</v>
      </c>
      <c r="C30" s="22" t="s">
        <v>45</v>
      </c>
      <c r="D30" s="11"/>
      <c r="E30" s="12">
        <v>3</v>
      </c>
      <c r="F30" s="12">
        <v>5</v>
      </c>
      <c r="G30" s="12">
        <v>5</v>
      </c>
      <c r="H30" s="12">
        <v>2</v>
      </c>
      <c r="I30" s="13"/>
      <c r="J30" s="13">
        <f t="shared" si="0"/>
        <v>0</v>
      </c>
      <c r="K30" s="12"/>
      <c r="L30" s="12">
        <f t="shared" si="1"/>
        <v>0</v>
      </c>
      <c r="M30" s="12"/>
      <c r="N30" s="14">
        <f t="shared" si="2"/>
        <v>15</v>
      </c>
      <c r="O30" s="1"/>
      <c r="P30" s="1"/>
      <c r="Q30" s="1"/>
      <c r="R30" s="1"/>
      <c r="S30" s="1"/>
      <c r="T30" s="1"/>
    </row>
    <row r="31" spans="1:20" x14ac:dyDescent="0.25">
      <c r="A31" s="10">
        <v>26</v>
      </c>
      <c r="B31" s="21">
        <v>19030129</v>
      </c>
      <c r="C31" s="22" t="s">
        <v>46</v>
      </c>
      <c r="D31" s="11"/>
      <c r="E31" s="12">
        <v>3</v>
      </c>
      <c r="F31" s="12">
        <v>5</v>
      </c>
      <c r="G31" s="12">
        <v>5</v>
      </c>
      <c r="H31" s="12">
        <v>2</v>
      </c>
      <c r="I31" s="13"/>
      <c r="J31" s="13">
        <f t="shared" si="0"/>
        <v>0</v>
      </c>
      <c r="K31" s="12"/>
      <c r="L31" s="12">
        <f t="shared" si="1"/>
        <v>0</v>
      </c>
      <c r="M31" s="12"/>
      <c r="N31" s="14">
        <f t="shared" si="2"/>
        <v>15</v>
      </c>
      <c r="O31" s="1"/>
      <c r="P31" s="1"/>
      <c r="Q31" s="1"/>
      <c r="R31" s="1"/>
      <c r="S31" s="1"/>
      <c r="T31" s="1"/>
    </row>
    <row r="32" spans="1:20" x14ac:dyDescent="0.25">
      <c r="A32" s="10">
        <v>27</v>
      </c>
      <c r="B32" s="21">
        <v>19030130</v>
      </c>
      <c r="C32" s="22" t="s">
        <v>47</v>
      </c>
      <c r="D32" s="11"/>
      <c r="E32" s="12">
        <v>3</v>
      </c>
      <c r="F32" s="12">
        <v>5</v>
      </c>
      <c r="G32" s="12">
        <v>5</v>
      </c>
      <c r="H32" s="12">
        <v>2</v>
      </c>
      <c r="I32" s="13"/>
      <c r="J32" s="13">
        <f t="shared" si="0"/>
        <v>0</v>
      </c>
      <c r="K32" s="19"/>
      <c r="L32" s="12">
        <f t="shared" si="1"/>
        <v>0</v>
      </c>
      <c r="M32" s="12"/>
      <c r="N32" s="14">
        <f t="shared" si="2"/>
        <v>15</v>
      </c>
      <c r="O32" s="1"/>
      <c r="P32" s="1"/>
      <c r="Q32" s="1"/>
      <c r="R32" s="1"/>
      <c r="S32" s="1"/>
      <c r="T32" s="1"/>
    </row>
    <row r="33" spans="1:20" x14ac:dyDescent="0.25">
      <c r="A33" s="10">
        <v>28</v>
      </c>
      <c r="B33" s="21">
        <v>19030131</v>
      </c>
      <c r="C33" s="22" t="s">
        <v>48</v>
      </c>
      <c r="D33" s="11"/>
      <c r="E33" s="12">
        <v>3</v>
      </c>
      <c r="F33" s="12">
        <v>5</v>
      </c>
      <c r="G33" s="12">
        <v>5</v>
      </c>
      <c r="H33" s="12">
        <v>2</v>
      </c>
      <c r="I33" s="13"/>
      <c r="J33" s="13">
        <f t="shared" si="0"/>
        <v>0</v>
      </c>
      <c r="K33" s="12"/>
      <c r="L33" s="12">
        <f t="shared" si="1"/>
        <v>0</v>
      </c>
      <c r="M33" s="12"/>
      <c r="N33" s="14">
        <f t="shared" si="2"/>
        <v>15</v>
      </c>
      <c r="O33" s="1"/>
      <c r="P33" s="1"/>
      <c r="Q33" s="1"/>
      <c r="R33" s="1"/>
      <c r="S33" s="1"/>
      <c r="T33" s="1"/>
    </row>
    <row r="34" spans="1:20" x14ac:dyDescent="0.25">
      <c r="A34" s="10">
        <v>29</v>
      </c>
      <c r="B34" s="21">
        <v>19030132</v>
      </c>
      <c r="C34" s="22" t="s">
        <v>49</v>
      </c>
      <c r="D34" s="11"/>
      <c r="E34" s="12">
        <v>3</v>
      </c>
      <c r="F34" s="12">
        <v>5</v>
      </c>
      <c r="G34" s="12">
        <v>5</v>
      </c>
      <c r="H34" s="12">
        <v>2</v>
      </c>
      <c r="I34" s="13"/>
      <c r="J34" s="13">
        <f t="shared" si="0"/>
        <v>0</v>
      </c>
      <c r="K34" s="12"/>
      <c r="L34" s="12">
        <f t="shared" si="1"/>
        <v>0</v>
      </c>
      <c r="M34" s="12"/>
      <c r="N34" s="14">
        <f t="shared" si="2"/>
        <v>15</v>
      </c>
      <c r="O34" s="1"/>
      <c r="P34" s="1"/>
      <c r="Q34" s="1"/>
      <c r="R34" s="1"/>
      <c r="S34" s="1"/>
      <c r="T34" s="1"/>
    </row>
    <row r="35" spans="1:20" x14ac:dyDescent="0.25">
      <c r="A35" s="10">
        <v>30</v>
      </c>
      <c r="B35" s="21">
        <v>19030133</v>
      </c>
      <c r="C35" s="22" t="s">
        <v>50</v>
      </c>
      <c r="D35" s="11"/>
      <c r="E35" s="12">
        <v>3</v>
      </c>
      <c r="F35" s="12">
        <v>5</v>
      </c>
      <c r="G35" s="12">
        <v>5</v>
      </c>
      <c r="H35" s="12">
        <v>2</v>
      </c>
      <c r="I35" s="13"/>
      <c r="J35" s="13">
        <f t="shared" si="0"/>
        <v>0</v>
      </c>
      <c r="K35" s="12"/>
      <c r="L35" s="12">
        <f t="shared" si="1"/>
        <v>0</v>
      </c>
      <c r="M35" s="12"/>
      <c r="N35" s="14">
        <f t="shared" si="2"/>
        <v>15</v>
      </c>
      <c r="O35" s="1"/>
      <c r="P35" s="1"/>
      <c r="Q35" s="1"/>
      <c r="R35" s="1"/>
      <c r="S35" s="1"/>
      <c r="T35" s="1"/>
    </row>
    <row r="36" spans="1:20" x14ac:dyDescent="0.25">
      <c r="A36" s="10">
        <v>31</v>
      </c>
      <c r="B36" s="21">
        <v>19032648</v>
      </c>
      <c r="C36" s="22" t="s">
        <v>51</v>
      </c>
      <c r="D36" s="11"/>
      <c r="E36" s="12">
        <v>3</v>
      </c>
      <c r="F36" s="12">
        <v>5</v>
      </c>
      <c r="G36" s="12">
        <v>5</v>
      </c>
      <c r="H36" s="12">
        <v>2</v>
      </c>
      <c r="I36" s="12"/>
      <c r="J36" s="13">
        <f t="shared" si="0"/>
        <v>0</v>
      </c>
      <c r="K36" s="12"/>
      <c r="L36" s="12">
        <f t="shared" si="1"/>
        <v>0</v>
      </c>
      <c r="M36" s="12"/>
      <c r="N36" s="14">
        <f t="shared" si="2"/>
        <v>15</v>
      </c>
      <c r="O36" s="1"/>
      <c r="P36" s="1"/>
      <c r="Q36" s="1"/>
      <c r="R36" s="1"/>
      <c r="S36" s="1"/>
      <c r="T36" s="1"/>
    </row>
    <row r="37" spans="1:2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48" t="s">
        <v>17</v>
      </c>
      <c r="M38" s="48"/>
      <c r="N38" s="1"/>
      <c r="O38" s="1"/>
      <c r="P38" s="1"/>
      <c r="Q38" s="1"/>
      <c r="R38" s="1"/>
      <c r="S38" s="1"/>
      <c r="T38" s="1"/>
    </row>
    <row r="39" spans="1:2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48" t="s">
        <v>18</v>
      </c>
      <c r="M39" s="48"/>
      <c r="N39" s="1"/>
      <c r="O39" s="1"/>
      <c r="P39" s="1"/>
      <c r="Q39" s="1"/>
      <c r="R39" s="1"/>
      <c r="S39" s="1"/>
      <c r="T39" s="1"/>
    </row>
    <row r="40" spans="1: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</sheetData>
  <mergeCells count="7">
    <mergeCell ref="L38:M38"/>
    <mergeCell ref="L39:M39"/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9"/>
  <sheetViews>
    <sheetView topLeftCell="B17" workbookViewId="0">
      <selection activeCell="B6" sqref="B6:C50"/>
    </sheetView>
  </sheetViews>
  <sheetFormatPr defaultRowHeight="15.75" x14ac:dyDescent="0.25"/>
  <cols>
    <col min="1" max="1" width="9.28515625" style="24" bestFit="1" customWidth="1"/>
    <col min="2" max="2" width="10.140625" style="24" bestFit="1" customWidth="1"/>
    <col min="3" max="3" width="29.42578125" style="24" customWidth="1"/>
    <col min="4" max="4" width="15.7109375" style="24" bestFit="1" customWidth="1"/>
    <col min="5" max="5" width="13.7109375" style="24" bestFit="1" customWidth="1"/>
    <col min="6" max="6" width="36.28515625" style="24" bestFit="1" customWidth="1"/>
    <col min="7" max="7" width="23.85546875" style="24" bestFit="1" customWidth="1"/>
    <col min="8" max="8" width="10.7109375" style="24" bestFit="1" customWidth="1"/>
    <col min="9" max="9" width="40.140625" style="24" bestFit="1" customWidth="1"/>
    <col min="10" max="10" width="12.5703125" style="24" bestFit="1" customWidth="1"/>
    <col min="11" max="11" width="40.85546875" style="24" bestFit="1" customWidth="1"/>
    <col min="12" max="12" width="7.5703125" style="24" bestFit="1" customWidth="1"/>
    <col min="13" max="13" width="10.140625" style="24" bestFit="1" customWidth="1"/>
    <col min="14" max="16384" width="9.140625" style="24"/>
  </cols>
  <sheetData>
    <row r="1" spans="1:19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23"/>
      <c r="O1" s="23"/>
      <c r="P1" s="23"/>
      <c r="Q1" s="23"/>
      <c r="R1" s="23"/>
      <c r="S1" s="23"/>
    </row>
    <row r="2" spans="1:19" x14ac:dyDescent="0.25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23"/>
      <c r="O2" s="23"/>
      <c r="P2" s="23"/>
      <c r="Q2" s="23"/>
      <c r="R2" s="23"/>
      <c r="S2" s="23"/>
    </row>
    <row r="3" spans="1:19" x14ac:dyDescent="0.25">
      <c r="A3" s="58" t="s">
        <v>102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23"/>
      <c r="O3" s="23"/>
      <c r="P3" s="23"/>
      <c r="Q3" s="23"/>
      <c r="R3" s="23"/>
      <c r="S3" s="23"/>
    </row>
    <row r="4" spans="1:19" ht="16.5" thickBot="1" x14ac:dyDescent="0.3">
      <c r="A4" s="59" t="s">
        <v>19</v>
      </c>
      <c r="B4" s="60"/>
      <c r="C4" s="61" t="s">
        <v>99</v>
      </c>
      <c r="D4" s="62"/>
      <c r="E4" s="62"/>
      <c r="F4" s="25" t="s">
        <v>100</v>
      </c>
      <c r="G4" s="23"/>
      <c r="H4" s="23"/>
      <c r="I4" s="23"/>
      <c r="J4" s="23"/>
      <c r="K4" s="63" t="s">
        <v>101</v>
      </c>
      <c r="L4" s="63"/>
      <c r="M4" s="63"/>
      <c r="N4" s="23"/>
      <c r="O4" s="23"/>
      <c r="P4" s="23"/>
      <c r="Q4" s="23"/>
      <c r="R4" s="23"/>
      <c r="S4" s="23"/>
    </row>
    <row r="5" spans="1:19" ht="48" thickBot="1" x14ac:dyDescent="0.3">
      <c r="A5" s="26" t="s">
        <v>3</v>
      </c>
      <c r="B5" s="27" t="s">
        <v>4</v>
      </c>
      <c r="C5" s="27" t="s">
        <v>5</v>
      </c>
      <c r="D5" s="36" t="s">
        <v>103</v>
      </c>
      <c r="E5" s="36" t="s">
        <v>104</v>
      </c>
      <c r="F5" s="36" t="s">
        <v>105</v>
      </c>
      <c r="G5" s="36" t="s">
        <v>106</v>
      </c>
      <c r="H5" s="36" t="s">
        <v>107</v>
      </c>
      <c r="I5" s="36" t="s">
        <v>108</v>
      </c>
      <c r="J5" s="36" t="s">
        <v>109</v>
      </c>
      <c r="K5" s="36" t="s">
        <v>110</v>
      </c>
      <c r="L5" s="37" t="s">
        <v>15</v>
      </c>
      <c r="M5" s="37" t="s">
        <v>111</v>
      </c>
      <c r="N5" s="23"/>
      <c r="O5" s="23"/>
      <c r="P5" s="23"/>
      <c r="Q5" s="23"/>
      <c r="R5" s="23"/>
      <c r="S5" s="23"/>
    </row>
    <row r="6" spans="1:19" x14ac:dyDescent="0.25">
      <c r="A6" s="28">
        <v>1</v>
      </c>
      <c r="B6" s="29">
        <v>21033072</v>
      </c>
      <c r="C6" s="30" t="s">
        <v>54</v>
      </c>
      <c r="D6" s="39"/>
      <c r="E6" s="39"/>
      <c r="F6" s="39"/>
      <c r="G6" s="39"/>
      <c r="H6" s="38" t="s">
        <v>112</v>
      </c>
      <c r="I6" s="38"/>
      <c r="J6" s="45">
        <v>54</v>
      </c>
      <c r="K6" s="47">
        <f>J6*0.7</f>
        <v>37.799999999999997</v>
      </c>
      <c r="L6" s="39"/>
      <c r="M6" s="40" t="s">
        <v>113</v>
      </c>
      <c r="N6" s="23"/>
      <c r="R6" s="23"/>
      <c r="S6" s="23"/>
    </row>
    <row r="7" spans="1:19" x14ac:dyDescent="0.25">
      <c r="A7" s="28">
        <v>2</v>
      </c>
      <c r="B7" s="29">
        <v>21033073</v>
      </c>
      <c r="C7" s="30" t="s">
        <v>55</v>
      </c>
      <c r="D7" s="29">
        <v>5</v>
      </c>
      <c r="E7" s="31">
        <v>5</v>
      </c>
      <c r="F7" s="31">
        <v>5</v>
      </c>
      <c r="G7" s="31">
        <v>5</v>
      </c>
      <c r="H7" s="32">
        <v>24</v>
      </c>
      <c r="I7" s="32">
        <f t="shared" ref="I7:I34" si="0">H7/5</f>
        <v>4.8</v>
      </c>
      <c r="J7" s="31">
        <v>71</v>
      </c>
      <c r="K7" s="47">
        <f t="shared" ref="K7:K50" si="1">J7*0.7</f>
        <v>49.699999999999996</v>
      </c>
      <c r="L7" s="31">
        <v>15</v>
      </c>
      <c r="M7" s="33">
        <f t="shared" ref="M7:M50" si="2">L7+K7+I7+G7+F7+E7+D7</f>
        <v>89.499999999999986</v>
      </c>
      <c r="N7" s="23"/>
      <c r="R7" s="23"/>
      <c r="S7" s="23"/>
    </row>
    <row r="8" spans="1:19" x14ac:dyDescent="0.25">
      <c r="A8" s="28">
        <v>3</v>
      </c>
      <c r="B8" s="29">
        <v>21033074</v>
      </c>
      <c r="C8" s="30" t="s">
        <v>56</v>
      </c>
      <c r="D8" s="29">
        <v>3</v>
      </c>
      <c r="E8" s="31">
        <v>4</v>
      </c>
      <c r="F8" s="31">
        <v>5</v>
      </c>
      <c r="G8" s="43">
        <v>5</v>
      </c>
      <c r="H8" s="32">
        <v>15</v>
      </c>
      <c r="I8" s="32">
        <f t="shared" si="0"/>
        <v>3</v>
      </c>
      <c r="J8" s="31">
        <v>79</v>
      </c>
      <c r="K8" s="47">
        <f t="shared" si="1"/>
        <v>55.3</v>
      </c>
      <c r="L8" s="31">
        <v>10</v>
      </c>
      <c r="M8" s="33">
        <f t="shared" si="2"/>
        <v>85.3</v>
      </c>
      <c r="N8" s="23"/>
      <c r="R8" s="23"/>
      <c r="S8" s="23"/>
    </row>
    <row r="9" spans="1:19" x14ac:dyDescent="0.25">
      <c r="A9" s="28">
        <v>4</v>
      </c>
      <c r="B9" s="29">
        <v>21033076</v>
      </c>
      <c r="C9" s="30" t="s">
        <v>57</v>
      </c>
      <c r="D9" s="29"/>
      <c r="E9" s="31">
        <v>4</v>
      </c>
      <c r="F9" s="43">
        <v>5</v>
      </c>
      <c r="G9" s="46">
        <v>5</v>
      </c>
      <c r="H9" s="32">
        <v>17</v>
      </c>
      <c r="I9" s="32">
        <f t="shared" si="0"/>
        <v>3.4</v>
      </c>
      <c r="J9" s="31">
        <v>76</v>
      </c>
      <c r="K9" s="47">
        <f t="shared" si="1"/>
        <v>53.199999999999996</v>
      </c>
      <c r="L9" s="31">
        <v>9</v>
      </c>
      <c r="M9" s="33">
        <f t="shared" si="2"/>
        <v>79.599999999999994</v>
      </c>
      <c r="N9" s="23"/>
      <c r="R9" s="23"/>
      <c r="S9" s="23"/>
    </row>
    <row r="10" spans="1:19" x14ac:dyDescent="0.25">
      <c r="A10" s="28">
        <v>5</v>
      </c>
      <c r="B10" s="29">
        <v>21033079</v>
      </c>
      <c r="C10" s="30" t="s">
        <v>58</v>
      </c>
      <c r="D10" s="43">
        <v>5</v>
      </c>
      <c r="E10" s="43">
        <v>5</v>
      </c>
      <c r="F10" s="43">
        <v>5</v>
      </c>
      <c r="G10" s="43">
        <v>5</v>
      </c>
      <c r="H10" s="32">
        <v>11</v>
      </c>
      <c r="I10" s="32">
        <f t="shared" si="0"/>
        <v>2.2000000000000002</v>
      </c>
      <c r="J10" s="31">
        <v>79</v>
      </c>
      <c r="K10" s="47">
        <f t="shared" si="1"/>
        <v>55.3</v>
      </c>
      <c r="L10" s="31">
        <v>12</v>
      </c>
      <c r="M10" s="33">
        <f>L10+K10+I10+G10+F10+E10+D10</f>
        <v>89.5</v>
      </c>
      <c r="N10" s="23"/>
      <c r="R10" s="23"/>
      <c r="S10" s="23"/>
    </row>
    <row r="11" spans="1:19" x14ac:dyDescent="0.25">
      <c r="A11" s="28">
        <v>6</v>
      </c>
      <c r="B11" s="29">
        <v>21033083</v>
      </c>
      <c r="C11" s="30" t="s">
        <v>59</v>
      </c>
      <c r="D11" s="29">
        <v>4</v>
      </c>
      <c r="E11" s="31">
        <v>5</v>
      </c>
      <c r="F11" s="31">
        <v>5</v>
      </c>
      <c r="G11" s="43">
        <v>5</v>
      </c>
      <c r="H11" s="32">
        <v>17</v>
      </c>
      <c r="I11" s="32">
        <f t="shared" si="0"/>
        <v>3.4</v>
      </c>
      <c r="J11" s="31">
        <v>80</v>
      </c>
      <c r="K11" s="47">
        <f t="shared" si="1"/>
        <v>56</v>
      </c>
      <c r="L11" s="31">
        <v>7</v>
      </c>
      <c r="M11" s="33">
        <f t="shared" si="2"/>
        <v>85.4</v>
      </c>
      <c r="N11" s="23"/>
      <c r="R11" s="23"/>
      <c r="S11" s="23"/>
    </row>
    <row r="12" spans="1:19" x14ac:dyDescent="0.25">
      <c r="A12" s="28">
        <v>7</v>
      </c>
      <c r="B12" s="29">
        <v>21033085</v>
      </c>
      <c r="C12" s="30" t="s">
        <v>60</v>
      </c>
      <c r="D12" s="29">
        <v>4</v>
      </c>
      <c r="E12" s="31">
        <v>4</v>
      </c>
      <c r="F12" s="31">
        <v>5</v>
      </c>
      <c r="G12" s="31">
        <v>5</v>
      </c>
      <c r="H12" s="32">
        <v>12</v>
      </c>
      <c r="I12" s="32">
        <f t="shared" si="0"/>
        <v>2.4</v>
      </c>
      <c r="J12" s="31">
        <v>83</v>
      </c>
      <c r="K12" s="47">
        <f t="shared" si="1"/>
        <v>58.099999999999994</v>
      </c>
      <c r="L12" s="31">
        <v>11</v>
      </c>
      <c r="M12" s="33">
        <f t="shared" si="2"/>
        <v>89.5</v>
      </c>
      <c r="N12" s="23"/>
      <c r="R12" s="23"/>
      <c r="S12" s="23"/>
    </row>
    <row r="13" spans="1:19" x14ac:dyDescent="0.25">
      <c r="A13" s="28">
        <v>8</v>
      </c>
      <c r="B13" s="29">
        <v>21033086</v>
      </c>
      <c r="C13" s="30" t="s">
        <v>61</v>
      </c>
      <c r="D13" s="29">
        <v>4</v>
      </c>
      <c r="E13" s="31">
        <v>5</v>
      </c>
      <c r="F13" s="31">
        <v>5</v>
      </c>
      <c r="G13" s="43">
        <v>5</v>
      </c>
      <c r="H13" s="32">
        <v>19</v>
      </c>
      <c r="I13" s="32">
        <f t="shared" si="0"/>
        <v>3.8</v>
      </c>
      <c r="J13" s="34">
        <v>65</v>
      </c>
      <c r="K13" s="47">
        <f t="shared" si="1"/>
        <v>45.5</v>
      </c>
      <c r="L13" s="31">
        <v>12</v>
      </c>
      <c r="M13" s="33">
        <f t="shared" si="2"/>
        <v>80.3</v>
      </c>
      <c r="N13" s="23"/>
      <c r="R13" s="23"/>
      <c r="S13" s="23"/>
    </row>
    <row r="14" spans="1:19" x14ac:dyDescent="0.25">
      <c r="A14" s="28">
        <v>9</v>
      </c>
      <c r="B14" s="29">
        <v>21033088</v>
      </c>
      <c r="C14" s="30" t="s">
        <v>62</v>
      </c>
      <c r="D14" s="29">
        <v>3</v>
      </c>
      <c r="E14" s="31">
        <v>3</v>
      </c>
      <c r="F14" s="39"/>
      <c r="G14" s="39"/>
      <c r="H14" s="32">
        <v>3</v>
      </c>
      <c r="I14" s="32">
        <f t="shared" si="0"/>
        <v>0.6</v>
      </c>
      <c r="J14" s="34">
        <v>71</v>
      </c>
      <c r="K14" s="47">
        <f t="shared" si="1"/>
        <v>49.699999999999996</v>
      </c>
      <c r="L14" s="31">
        <v>19</v>
      </c>
      <c r="M14" s="33">
        <f t="shared" si="2"/>
        <v>75.299999999999983</v>
      </c>
      <c r="N14" s="23"/>
      <c r="R14" s="23"/>
      <c r="S14" s="23"/>
    </row>
    <row r="15" spans="1:19" x14ac:dyDescent="0.25">
      <c r="A15" s="28">
        <v>10</v>
      </c>
      <c r="B15" s="29">
        <v>21033090</v>
      </c>
      <c r="C15" s="30" t="s">
        <v>63</v>
      </c>
      <c r="D15" s="29">
        <v>4</v>
      </c>
      <c r="E15" s="31">
        <v>5</v>
      </c>
      <c r="F15" s="31">
        <v>5</v>
      </c>
      <c r="G15" s="31">
        <v>5</v>
      </c>
      <c r="H15" s="32">
        <v>17</v>
      </c>
      <c r="I15" s="32">
        <f t="shared" si="0"/>
        <v>3.4</v>
      </c>
      <c r="J15" s="34">
        <v>77</v>
      </c>
      <c r="K15" s="47">
        <f t="shared" si="1"/>
        <v>53.9</v>
      </c>
      <c r="L15" s="31">
        <v>9</v>
      </c>
      <c r="M15" s="33">
        <f t="shared" si="2"/>
        <v>85.3</v>
      </c>
      <c r="N15" s="23"/>
      <c r="R15" s="23"/>
      <c r="S15" s="23"/>
    </row>
    <row r="16" spans="1:19" x14ac:dyDescent="0.25">
      <c r="A16" s="28">
        <v>11</v>
      </c>
      <c r="B16" s="29">
        <v>21033094</v>
      </c>
      <c r="C16" s="30" t="s">
        <v>64</v>
      </c>
      <c r="D16" s="29">
        <v>5</v>
      </c>
      <c r="E16" s="31">
        <v>5</v>
      </c>
      <c r="F16" s="31">
        <v>5</v>
      </c>
      <c r="G16" s="31">
        <v>5</v>
      </c>
      <c r="H16" s="32">
        <v>12</v>
      </c>
      <c r="I16" s="32">
        <f t="shared" si="0"/>
        <v>2.4</v>
      </c>
      <c r="J16" s="34">
        <v>69</v>
      </c>
      <c r="K16" s="47">
        <f t="shared" si="1"/>
        <v>48.3</v>
      </c>
      <c r="L16" s="31">
        <v>19</v>
      </c>
      <c r="M16" s="33">
        <f t="shared" si="2"/>
        <v>89.7</v>
      </c>
      <c r="N16" s="23"/>
      <c r="R16" s="23"/>
      <c r="S16" s="23"/>
    </row>
    <row r="17" spans="1:19" x14ac:dyDescent="0.25">
      <c r="A17" s="28">
        <v>12</v>
      </c>
      <c r="B17" s="29">
        <v>21033096</v>
      </c>
      <c r="C17" s="30" t="s">
        <v>65</v>
      </c>
      <c r="D17" s="29">
        <v>4</v>
      </c>
      <c r="E17" s="31">
        <v>5</v>
      </c>
      <c r="F17" s="31">
        <v>5</v>
      </c>
      <c r="G17" s="31">
        <v>5</v>
      </c>
      <c r="H17" s="32">
        <v>26</v>
      </c>
      <c r="I17" s="32">
        <f t="shared" si="0"/>
        <v>5.2</v>
      </c>
      <c r="J17" s="34">
        <v>82</v>
      </c>
      <c r="K17" s="47">
        <f t="shared" si="1"/>
        <v>57.4</v>
      </c>
      <c r="L17" s="31">
        <v>8</v>
      </c>
      <c r="M17" s="33">
        <f t="shared" si="2"/>
        <v>89.600000000000009</v>
      </c>
      <c r="N17" s="23"/>
      <c r="R17" s="23"/>
      <c r="S17" s="23"/>
    </row>
    <row r="18" spans="1:19" x14ac:dyDescent="0.25">
      <c r="A18" s="28">
        <v>13</v>
      </c>
      <c r="B18" s="29">
        <v>21033105</v>
      </c>
      <c r="C18" s="30" t="s">
        <v>66</v>
      </c>
      <c r="D18" s="29">
        <v>4</v>
      </c>
      <c r="E18" s="31">
        <v>4</v>
      </c>
      <c r="F18" s="31">
        <v>5</v>
      </c>
      <c r="G18" s="31">
        <v>5</v>
      </c>
      <c r="H18" s="32">
        <v>28</v>
      </c>
      <c r="I18" s="32">
        <f t="shared" si="0"/>
        <v>5.6</v>
      </c>
      <c r="J18" s="34">
        <v>81</v>
      </c>
      <c r="K18" s="47">
        <f t="shared" si="1"/>
        <v>56.699999999999996</v>
      </c>
      <c r="L18" s="31">
        <v>5</v>
      </c>
      <c r="M18" s="33">
        <f t="shared" si="2"/>
        <v>85.3</v>
      </c>
      <c r="N18" s="23"/>
      <c r="R18" s="23"/>
      <c r="S18" s="23"/>
    </row>
    <row r="19" spans="1:19" x14ac:dyDescent="0.25">
      <c r="A19" s="28">
        <v>14</v>
      </c>
      <c r="B19" s="29">
        <v>21033106</v>
      </c>
      <c r="C19" s="30" t="s">
        <v>67</v>
      </c>
      <c r="D19" s="29">
        <v>4</v>
      </c>
      <c r="E19" s="31">
        <v>4</v>
      </c>
      <c r="F19" s="31">
        <v>5</v>
      </c>
      <c r="G19" s="31">
        <v>5</v>
      </c>
      <c r="H19" s="32">
        <v>17</v>
      </c>
      <c r="I19" s="32">
        <f t="shared" si="0"/>
        <v>3.4</v>
      </c>
      <c r="J19" s="34">
        <v>80</v>
      </c>
      <c r="K19" s="47">
        <f t="shared" si="1"/>
        <v>56</v>
      </c>
      <c r="L19" s="31">
        <v>8</v>
      </c>
      <c r="M19" s="33">
        <f t="shared" si="2"/>
        <v>85.4</v>
      </c>
      <c r="N19" s="23"/>
      <c r="R19" s="23"/>
      <c r="S19" s="23"/>
    </row>
    <row r="20" spans="1:19" x14ac:dyDescent="0.25">
      <c r="A20" s="28">
        <v>15</v>
      </c>
      <c r="B20" s="29">
        <v>21033109</v>
      </c>
      <c r="C20" s="30" t="s">
        <v>68</v>
      </c>
      <c r="D20" s="29">
        <v>5</v>
      </c>
      <c r="E20" s="31">
        <v>5</v>
      </c>
      <c r="F20" s="31">
        <v>5</v>
      </c>
      <c r="G20" s="31">
        <v>5</v>
      </c>
      <c r="H20" s="32">
        <v>32</v>
      </c>
      <c r="I20" s="32">
        <f t="shared" si="0"/>
        <v>6.4</v>
      </c>
      <c r="J20" s="34">
        <v>77</v>
      </c>
      <c r="K20" s="47">
        <f t="shared" si="1"/>
        <v>53.9</v>
      </c>
      <c r="L20" s="31">
        <v>10</v>
      </c>
      <c r="M20" s="33">
        <f t="shared" si="2"/>
        <v>90.3</v>
      </c>
      <c r="N20" s="23"/>
      <c r="R20" s="23"/>
      <c r="S20" s="23"/>
    </row>
    <row r="21" spans="1:19" x14ac:dyDescent="0.25">
      <c r="A21" s="28">
        <v>16</v>
      </c>
      <c r="B21" s="29">
        <v>21033112</v>
      </c>
      <c r="C21" s="30" t="s">
        <v>69</v>
      </c>
      <c r="D21" s="29">
        <v>4</v>
      </c>
      <c r="E21" s="31">
        <v>5</v>
      </c>
      <c r="F21" s="31">
        <v>5</v>
      </c>
      <c r="G21" s="31">
        <v>5</v>
      </c>
      <c r="H21" s="32">
        <v>19</v>
      </c>
      <c r="I21" s="32">
        <f t="shared" si="0"/>
        <v>3.8</v>
      </c>
      <c r="J21" s="34">
        <v>75</v>
      </c>
      <c r="K21" s="47">
        <f t="shared" si="1"/>
        <v>52.5</v>
      </c>
      <c r="L21" s="31">
        <v>10</v>
      </c>
      <c r="M21" s="33">
        <f t="shared" si="2"/>
        <v>85.3</v>
      </c>
      <c r="N21" s="23"/>
      <c r="R21" s="23"/>
      <c r="S21" s="23"/>
    </row>
    <row r="22" spans="1:19" x14ac:dyDescent="0.25">
      <c r="A22" s="28">
        <v>17</v>
      </c>
      <c r="B22" s="29">
        <v>21033115</v>
      </c>
      <c r="C22" s="30" t="s">
        <v>70</v>
      </c>
      <c r="D22" s="29">
        <v>4</v>
      </c>
      <c r="E22" s="31">
        <v>5</v>
      </c>
      <c r="F22" s="31">
        <v>5</v>
      </c>
      <c r="G22" s="31">
        <v>5</v>
      </c>
      <c r="H22" s="32">
        <v>16</v>
      </c>
      <c r="I22" s="32">
        <f t="shared" si="0"/>
        <v>3.2</v>
      </c>
      <c r="J22" s="34">
        <v>78</v>
      </c>
      <c r="K22" s="47">
        <f t="shared" si="1"/>
        <v>54.599999999999994</v>
      </c>
      <c r="L22" s="31">
        <v>3</v>
      </c>
      <c r="M22" s="33">
        <f t="shared" si="2"/>
        <v>79.8</v>
      </c>
      <c r="N22" s="23"/>
      <c r="R22" s="23"/>
      <c r="S22" s="23"/>
    </row>
    <row r="23" spans="1:19" x14ac:dyDescent="0.25">
      <c r="A23" s="28">
        <v>18</v>
      </c>
      <c r="B23" s="29">
        <v>21033122</v>
      </c>
      <c r="C23" s="30" t="s">
        <v>71</v>
      </c>
      <c r="D23" s="29">
        <v>4</v>
      </c>
      <c r="E23" s="31">
        <v>4</v>
      </c>
      <c r="F23" s="31">
        <v>5</v>
      </c>
      <c r="G23" s="42">
        <v>5</v>
      </c>
      <c r="H23" s="32">
        <v>16</v>
      </c>
      <c r="I23" s="32">
        <f t="shared" si="0"/>
        <v>3.2</v>
      </c>
      <c r="J23" s="34">
        <v>78</v>
      </c>
      <c r="K23" s="47">
        <f t="shared" si="1"/>
        <v>54.599999999999994</v>
      </c>
      <c r="L23" s="31">
        <v>4</v>
      </c>
      <c r="M23" s="33">
        <f t="shared" si="2"/>
        <v>79.8</v>
      </c>
      <c r="N23" s="23"/>
      <c r="R23" s="23"/>
      <c r="S23" s="23"/>
    </row>
    <row r="24" spans="1:19" x14ac:dyDescent="0.25">
      <c r="A24" s="28">
        <v>19</v>
      </c>
      <c r="B24" s="29">
        <v>21033128</v>
      </c>
      <c r="C24" s="30" t="s">
        <v>72</v>
      </c>
      <c r="D24" s="29">
        <v>4</v>
      </c>
      <c r="E24" s="31">
        <v>4</v>
      </c>
      <c r="F24" s="31">
        <v>5</v>
      </c>
      <c r="G24" s="31">
        <v>5</v>
      </c>
      <c r="H24" s="32">
        <v>20</v>
      </c>
      <c r="I24" s="32">
        <f t="shared" si="0"/>
        <v>4</v>
      </c>
      <c r="J24" s="34">
        <v>77</v>
      </c>
      <c r="K24" s="47">
        <f t="shared" si="1"/>
        <v>53.9</v>
      </c>
      <c r="L24" s="31">
        <v>9</v>
      </c>
      <c r="M24" s="33">
        <f t="shared" si="2"/>
        <v>84.9</v>
      </c>
      <c r="N24" s="23"/>
      <c r="R24" s="23"/>
      <c r="S24" s="23"/>
    </row>
    <row r="25" spans="1:19" x14ac:dyDescent="0.25">
      <c r="A25" s="28">
        <v>20</v>
      </c>
      <c r="B25" s="29">
        <v>21033130</v>
      </c>
      <c r="C25" s="30" t="s">
        <v>73</v>
      </c>
      <c r="D25" s="29">
        <v>4</v>
      </c>
      <c r="E25" s="31">
        <v>4</v>
      </c>
      <c r="F25" s="31">
        <v>5</v>
      </c>
      <c r="G25" s="31">
        <v>5</v>
      </c>
      <c r="H25" s="32">
        <v>21</v>
      </c>
      <c r="I25" s="32">
        <f t="shared" si="0"/>
        <v>4.2</v>
      </c>
      <c r="J25" s="34">
        <v>69</v>
      </c>
      <c r="K25" s="47">
        <f t="shared" si="1"/>
        <v>48.3</v>
      </c>
      <c r="L25" s="31">
        <v>14</v>
      </c>
      <c r="M25" s="33">
        <f t="shared" si="2"/>
        <v>84.5</v>
      </c>
      <c r="N25" s="23"/>
      <c r="R25" s="23"/>
      <c r="S25" s="23"/>
    </row>
    <row r="26" spans="1:19" x14ac:dyDescent="0.25">
      <c r="A26" s="28">
        <v>21</v>
      </c>
      <c r="B26" s="29">
        <v>21033132</v>
      </c>
      <c r="C26" s="30" t="s">
        <v>74</v>
      </c>
      <c r="D26" s="29">
        <v>1</v>
      </c>
      <c r="E26" s="31">
        <v>5</v>
      </c>
      <c r="F26" s="31">
        <v>5</v>
      </c>
      <c r="G26" s="44"/>
      <c r="H26" s="32" t="s">
        <v>112</v>
      </c>
      <c r="I26" s="32"/>
      <c r="J26" s="34">
        <v>76</v>
      </c>
      <c r="K26" s="47">
        <f t="shared" si="1"/>
        <v>53.199999999999996</v>
      </c>
      <c r="L26" s="31">
        <v>11</v>
      </c>
      <c r="M26" s="33">
        <f t="shared" si="2"/>
        <v>75.199999999999989</v>
      </c>
      <c r="N26" s="23"/>
      <c r="R26" s="23"/>
      <c r="S26" s="23"/>
    </row>
    <row r="27" spans="1:19" x14ac:dyDescent="0.25">
      <c r="A27" s="28">
        <v>22</v>
      </c>
      <c r="B27" s="29">
        <v>21033133</v>
      </c>
      <c r="C27" s="30" t="s">
        <v>75</v>
      </c>
      <c r="D27" s="29">
        <v>4</v>
      </c>
      <c r="E27" s="31">
        <v>5</v>
      </c>
      <c r="F27" s="31">
        <v>5</v>
      </c>
      <c r="G27" s="31">
        <v>5</v>
      </c>
      <c r="H27" s="32">
        <v>23</v>
      </c>
      <c r="I27" s="32">
        <f t="shared" si="0"/>
        <v>4.5999999999999996</v>
      </c>
      <c r="J27" s="34">
        <v>75</v>
      </c>
      <c r="K27" s="47">
        <f t="shared" si="1"/>
        <v>52.5</v>
      </c>
      <c r="L27" s="31">
        <v>4</v>
      </c>
      <c r="M27" s="33">
        <f t="shared" si="2"/>
        <v>80.099999999999994</v>
      </c>
      <c r="N27" s="23"/>
      <c r="R27" s="23"/>
      <c r="S27" s="23"/>
    </row>
    <row r="28" spans="1:19" x14ac:dyDescent="0.25">
      <c r="A28" s="28">
        <v>23</v>
      </c>
      <c r="B28" s="29">
        <v>21033136</v>
      </c>
      <c r="C28" s="30" t="s">
        <v>76</v>
      </c>
      <c r="D28" s="29">
        <v>4</v>
      </c>
      <c r="E28" s="31">
        <v>5</v>
      </c>
      <c r="F28" s="31">
        <v>5</v>
      </c>
      <c r="G28" s="31">
        <v>5</v>
      </c>
      <c r="H28" s="32">
        <v>21</v>
      </c>
      <c r="I28" s="32">
        <f t="shared" si="0"/>
        <v>4.2</v>
      </c>
      <c r="J28" s="34">
        <v>74</v>
      </c>
      <c r="K28" s="47">
        <f t="shared" si="1"/>
        <v>51.8</v>
      </c>
      <c r="L28" s="31">
        <v>5</v>
      </c>
      <c r="M28" s="33">
        <f t="shared" si="2"/>
        <v>80</v>
      </c>
      <c r="N28" s="23"/>
      <c r="R28" s="23"/>
      <c r="S28" s="23"/>
    </row>
    <row r="29" spans="1:19" x14ac:dyDescent="0.25">
      <c r="A29" s="28">
        <v>24</v>
      </c>
      <c r="B29" s="29">
        <v>21033137</v>
      </c>
      <c r="C29" s="30" t="s">
        <v>77</v>
      </c>
      <c r="D29" s="29">
        <v>5</v>
      </c>
      <c r="E29" s="31">
        <v>5</v>
      </c>
      <c r="F29" s="31">
        <v>5</v>
      </c>
      <c r="G29" s="31">
        <v>5</v>
      </c>
      <c r="H29" s="32">
        <v>33</v>
      </c>
      <c r="I29" s="32">
        <f t="shared" si="0"/>
        <v>6.6</v>
      </c>
      <c r="J29" s="34">
        <v>74</v>
      </c>
      <c r="K29" s="47">
        <f t="shared" si="1"/>
        <v>51.8</v>
      </c>
      <c r="L29" s="31">
        <v>7</v>
      </c>
      <c r="M29" s="33">
        <f t="shared" si="2"/>
        <v>85.399999999999991</v>
      </c>
      <c r="N29" s="23"/>
      <c r="R29" s="23"/>
      <c r="S29" s="23"/>
    </row>
    <row r="30" spans="1:19" x14ac:dyDescent="0.25">
      <c r="A30" s="28">
        <v>25</v>
      </c>
      <c r="B30" s="29">
        <v>21033138</v>
      </c>
      <c r="C30" s="30" t="s">
        <v>78</v>
      </c>
      <c r="D30" s="29">
        <v>4</v>
      </c>
      <c r="E30" s="31">
        <v>5</v>
      </c>
      <c r="F30" s="31">
        <v>5</v>
      </c>
      <c r="G30" s="31">
        <v>5</v>
      </c>
      <c r="H30" s="32">
        <v>34</v>
      </c>
      <c r="I30" s="32">
        <f t="shared" si="0"/>
        <v>6.8</v>
      </c>
      <c r="J30" s="31">
        <v>79</v>
      </c>
      <c r="K30" s="47">
        <f t="shared" si="1"/>
        <v>55.3</v>
      </c>
      <c r="L30" s="31">
        <v>9</v>
      </c>
      <c r="M30" s="33">
        <f t="shared" si="2"/>
        <v>90.1</v>
      </c>
      <c r="N30" s="23"/>
      <c r="R30" s="23"/>
      <c r="S30" s="23"/>
    </row>
    <row r="31" spans="1:19" x14ac:dyDescent="0.25">
      <c r="A31" s="28">
        <v>26</v>
      </c>
      <c r="B31" s="29">
        <v>21033139</v>
      </c>
      <c r="C31" s="30" t="s">
        <v>79</v>
      </c>
      <c r="D31" s="29">
        <v>4</v>
      </c>
      <c r="E31" s="31">
        <v>5</v>
      </c>
      <c r="F31" s="39"/>
      <c r="G31" s="39"/>
      <c r="H31" s="32">
        <v>21</v>
      </c>
      <c r="I31" s="32">
        <f t="shared" si="0"/>
        <v>4.2</v>
      </c>
      <c r="J31" s="31">
        <v>81</v>
      </c>
      <c r="K31" s="47">
        <f t="shared" si="1"/>
        <v>56.699999999999996</v>
      </c>
      <c r="L31" s="31">
        <v>5</v>
      </c>
      <c r="M31" s="33">
        <f t="shared" si="2"/>
        <v>74.899999999999991</v>
      </c>
      <c r="N31" s="23"/>
      <c r="R31" s="23"/>
      <c r="S31" s="23"/>
    </row>
    <row r="32" spans="1:19" x14ac:dyDescent="0.25">
      <c r="A32" s="28">
        <v>27</v>
      </c>
      <c r="B32" s="29">
        <v>21033140</v>
      </c>
      <c r="C32" s="30" t="s">
        <v>80</v>
      </c>
      <c r="D32" s="29">
        <v>4</v>
      </c>
      <c r="E32" s="31">
        <v>4</v>
      </c>
      <c r="F32" s="31">
        <v>5</v>
      </c>
      <c r="G32" s="31">
        <v>5</v>
      </c>
      <c r="H32" s="32">
        <v>28</v>
      </c>
      <c r="I32" s="32">
        <f t="shared" si="0"/>
        <v>5.6</v>
      </c>
      <c r="J32" s="34">
        <v>79</v>
      </c>
      <c r="K32" s="47">
        <f t="shared" si="1"/>
        <v>55.3</v>
      </c>
      <c r="L32" s="31">
        <v>6</v>
      </c>
      <c r="M32" s="33">
        <f t="shared" si="2"/>
        <v>84.899999999999991</v>
      </c>
      <c r="N32" s="23"/>
      <c r="R32" s="23"/>
      <c r="S32" s="23"/>
    </row>
    <row r="33" spans="1:19" x14ac:dyDescent="0.25">
      <c r="A33" s="28">
        <v>28</v>
      </c>
      <c r="B33" s="29">
        <v>21033141</v>
      </c>
      <c r="C33" s="30" t="s">
        <v>81</v>
      </c>
      <c r="D33" s="29">
        <v>5</v>
      </c>
      <c r="E33" s="31">
        <v>5</v>
      </c>
      <c r="F33" s="31">
        <v>5</v>
      </c>
      <c r="G33" s="31">
        <v>5</v>
      </c>
      <c r="H33" s="32">
        <v>23</v>
      </c>
      <c r="I33" s="32">
        <f t="shared" si="0"/>
        <v>4.5999999999999996</v>
      </c>
      <c r="J33" s="31">
        <v>80</v>
      </c>
      <c r="K33" s="47">
        <f t="shared" si="1"/>
        <v>56</v>
      </c>
      <c r="L33" s="31">
        <v>9</v>
      </c>
      <c r="M33" s="33">
        <f t="shared" si="2"/>
        <v>89.6</v>
      </c>
      <c r="N33" s="23"/>
      <c r="R33" s="23"/>
      <c r="S33" s="23"/>
    </row>
    <row r="34" spans="1:19" x14ac:dyDescent="0.25">
      <c r="A34" s="28">
        <v>29</v>
      </c>
      <c r="B34" s="29">
        <v>21033142</v>
      </c>
      <c r="C34" s="30" t="s">
        <v>82</v>
      </c>
      <c r="D34" s="29">
        <v>2</v>
      </c>
      <c r="E34" s="31">
        <v>5</v>
      </c>
      <c r="F34" s="31">
        <v>5</v>
      </c>
      <c r="G34" s="31">
        <v>5</v>
      </c>
      <c r="H34" s="32">
        <v>28</v>
      </c>
      <c r="I34" s="32">
        <f t="shared" si="0"/>
        <v>5.6</v>
      </c>
      <c r="J34" s="31">
        <v>79</v>
      </c>
      <c r="K34" s="47">
        <f t="shared" si="1"/>
        <v>55.3</v>
      </c>
      <c r="L34" s="31">
        <v>2</v>
      </c>
      <c r="M34" s="33">
        <f t="shared" si="2"/>
        <v>79.900000000000006</v>
      </c>
      <c r="N34" s="23"/>
      <c r="R34" s="23"/>
      <c r="S34" s="23"/>
    </row>
    <row r="35" spans="1:19" x14ac:dyDescent="0.25">
      <c r="A35" s="28">
        <v>30</v>
      </c>
      <c r="B35" s="29">
        <v>21033143</v>
      </c>
      <c r="C35" s="30" t="s">
        <v>83</v>
      </c>
      <c r="D35" s="29">
        <v>0</v>
      </c>
      <c r="E35" s="31">
        <v>0</v>
      </c>
      <c r="F35" s="39"/>
      <c r="G35" s="39"/>
      <c r="H35" s="38" t="s">
        <v>112</v>
      </c>
      <c r="I35" s="38"/>
      <c r="J35" s="39"/>
      <c r="K35" s="47">
        <f t="shared" si="1"/>
        <v>0</v>
      </c>
      <c r="L35" s="39"/>
      <c r="M35" s="33" t="s">
        <v>114</v>
      </c>
      <c r="N35" s="23"/>
      <c r="R35" s="23"/>
      <c r="S35" s="23"/>
    </row>
    <row r="36" spans="1:19" x14ac:dyDescent="0.25">
      <c r="A36" s="28">
        <v>31</v>
      </c>
      <c r="B36" s="29">
        <v>21033145</v>
      </c>
      <c r="C36" s="30" t="s">
        <v>84</v>
      </c>
      <c r="D36" s="29">
        <v>0</v>
      </c>
      <c r="E36" s="31">
        <v>0</v>
      </c>
      <c r="F36" s="39"/>
      <c r="G36" s="39"/>
      <c r="H36" s="39" t="s">
        <v>112</v>
      </c>
      <c r="I36" s="38"/>
      <c r="J36" s="39"/>
      <c r="K36" s="47">
        <f t="shared" si="1"/>
        <v>0</v>
      </c>
      <c r="L36" s="39"/>
      <c r="M36" s="33" t="s">
        <v>114</v>
      </c>
      <c r="N36" s="23"/>
      <c r="R36" s="23"/>
      <c r="S36" s="23"/>
    </row>
    <row r="37" spans="1:19" x14ac:dyDescent="0.25">
      <c r="A37" s="28">
        <v>32</v>
      </c>
      <c r="B37" s="29">
        <v>21033146</v>
      </c>
      <c r="C37" s="30" t="s">
        <v>85</v>
      </c>
      <c r="D37" s="29">
        <v>4</v>
      </c>
      <c r="E37" s="31">
        <v>5</v>
      </c>
      <c r="F37" s="31">
        <v>5</v>
      </c>
      <c r="G37" s="31">
        <v>5</v>
      </c>
      <c r="H37" s="31">
        <v>11</v>
      </c>
      <c r="I37" s="32">
        <f t="shared" ref="I37:I50" si="3">H37/5</f>
        <v>2.2000000000000002</v>
      </c>
      <c r="J37" s="31">
        <v>80</v>
      </c>
      <c r="K37" s="47">
        <f t="shared" si="1"/>
        <v>56</v>
      </c>
      <c r="L37" s="31"/>
      <c r="M37" s="33">
        <f t="shared" si="2"/>
        <v>77.2</v>
      </c>
      <c r="N37" s="23"/>
      <c r="R37" s="23"/>
      <c r="S37" s="23"/>
    </row>
    <row r="38" spans="1:19" x14ac:dyDescent="0.25">
      <c r="A38" s="28">
        <v>33</v>
      </c>
      <c r="B38" s="29">
        <v>21033147</v>
      </c>
      <c r="C38" s="30" t="s">
        <v>86</v>
      </c>
      <c r="D38" s="29">
        <v>4</v>
      </c>
      <c r="E38" s="31">
        <v>5</v>
      </c>
      <c r="F38" s="31">
        <v>5</v>
      </c>
      <c r="G38" s="41">
        <v>5</v>
      </c>
      <c r="H38" s="31">
        <v>22</v>
      </c>
      <c r="I38" s="32">
        <f t="shared" si="3"/>
        <v>4.4000000000000004</v>
      </c>
      <c r="J38" s="31">
        <v>74</v>
      </c>
      <c r="K38" s="47">
        <f t="shared" si="1"/>
        <v>51.8</v>
      </c>
      <c r="L38" s="31">
        <v>5</v>
      </c>
      <c r="M38" s="33">
        <f t="shared" si="2"/>
        <v>80.199999999999989</v>
      </c>
      <c r="N38" s="23"/>
      <c r="R38" s="23"/>
      <c r="S38" s="23"/>
    </row>
    <row r="39" spans="1:19" x14ac:dyDescent="0.25">
      <c r="A39" s="28">
        <v>34</v>
      </c>
      <c r="B39" s="29">
        <v>21033149</v>
      </c>
      <c r="C39" s="30" t="s">
        <v>87</v>
      </c>
      <c r="D39" s="29">
        <v>0</v>
      </c>
      <c r="E39" s="31">
        <v>0</v>
      </c>
      <c r="F39" s="39"/>
      <c r="G39" s="39"/>
      <c r="H39" s="39" t="s">
        <v>112</v>
      </c>
      <c r="I39" s="38"/>
      <c r="J39" s="39"/>
      <c r="K39" s="47">
        <f t="shared" si="1"/>
        <v>0</v>
      </c>
      <c r="L39" s="31"/>
      <c r="M39" s="33" t="s">
        <v>114</v>
      </c>
      <c r="N39" s="23"/>
      <c r="R39" s="23"/>
      <c r="S39" s="23"/>
    </row>
    <row r="40" spans="1:19" x14ac:dyDescent="0.25">
      <c r="A40" s="28">
        <v>35</v>
      </c>
      <c r="B40" s="29">
        <v>21033150</v>
      </c>
      <c r="C40" s="30" t="s">
        <v>88</v>
      </c>
      <c r="D40" s="29">
        <v>5</v>
      </c>
      <c r="E40" s="31">
        <v>5</v>
      </c>
      <c r="F40" s="31">
        <v>5</v>
      </c>
      <c r="G40" s="41">
        <v>5</v>
      </c>
      <c r="H40" s="31">
        <v>26</v>
      </c>
      <c r="I40" s="32">
        <f t="shared" si="3"/>
        <v>5.2</v>
      </c>
      <c r="J40" s="31">
        <v>81</v>
      </c>
      <c r="K40" s="47">
        <f t="shared" si="1"/>
        <v>56.699999999999996</v>
      </c>
      <c r="L40" s="31">
        <v>8</v>
      </c>
      <c r="M40" s="33">
        <f t="shared" si="2"/>
        <v>89.899999999999991</v>
      </c>
      <c r="N40" s="23"/>
      <c r="R40" s="23"/>
      <c r="S40" s="23"/>
    </row>
    <row r="41" spans="1:19" x14ac:dyDescent="0.25">
      <c r="A41" s="28">
        <v>36</v>
      </c>
      <c r="B41" s="29">
        <v>21033151</v>
      </c>
      <c r="C41" s="30" t="s">
        <v>89</v>
      </c>
      <c r="D41" s="29">
        <v>5</v>
      </c>
      <c r="E41" s="31">
        <v>5</v>
      </c>
      <c r="F41" s="31">
        <v>5</v>
      </c>
      <c r="G41" s="31">
        <v>5</v>
      </c>
      <c r="H41" s="31">
        <v>30</v>
      </c>
      <c r="I41" s="32">
        <f t="shared" si="3"/>
        <v>6</v>
      </c>
      <c r="J41" s="31">
        <v>80</v>
      </c>
      <c r="K41" s="47">
        <f t="shared" si="1"/>
        <v>56</v>
      </c>
      <c r="L41" s="31">
        <v>8</v>
      </c>
      <c r="M41" s="33">
        <f t="shared" si="2"/>
        <v>90</v>
      </c>
      <c r="N41" s="23"/>
      <c r="R41" s="23"/>
      <c r="S41" s="23"/>
    </row>
    <row r="42" spans="1:19" x14ac:dyDescent="0.25">
      <c r="A42" s="28">
        <v>37</v>
      </c>
      <c r="B42" s="29">
        <v>21033152</v>
      </c>
      <c r="C42" s="30" t="s">
        <v>90</v>
      </c>
      <c r="D42" s="29">
        <v>5</v>
      </c>
      <c r="E42" s="31">
        <v>5</v>
      </c>
      <c r="F42" s="31">
        <v>5</v>
      </c>
      <c r="G42" s="31">
        <v>5</v>
      </c>
      <c r="H42" s="31">
        <v>35</v>
      </c>
      <c r="I42" s="32">
        <f t="shared" si="3"/>
        <v>7</v>
      </c>
      <c r="J42" s="31">
        <v>77</v>
      </c>
      <c r="K42" s="47">
        <f t="shared" si="1"/>
        <v>53.9</v>
      </c>
      <c r="L42" s="31">
        <v>9</v>
      </c>
      <c r="M42" s="33">
        <f t="shared" si="2"/>
        <v>89.9</v>
      </c>
      <c r="N42" s="23"/>
      <c r="R42" s="23"/>
      <c r="S42" s="23"/>
    </row>
    <row r="43" spans="1:19" x14ac:dyDescent="0.25">
      <c r="A43" s="28">
        <v>38</v>
      </c>
      <c r="B43" s="29">
        <v>21033153</v>
      </c>
      <c r="C43" s="30" t="s">
        <v>91</v>
      </c>
      <c r="D43" s="29">
        <v>5</v>
      </c>
      <c r="E43" s="31">
        <v>5</v>
      </c>
      <c r="F43" s="31">
        <v>5</v>
      </c>
      <c r="G43" s="31">
        <v>5</v>
      </c>
      <c r="H43" s="31">
        <v>36</v>
      </c>
      <c r="I43" s="32">
        <f t="shared" si="3"/>
        <v>7.2</v>
      </c>
      <c r="J43" s="31">
        <v>75</v>
      </c>
      <c r="K43" s="47">
        <f t="shared" si="1"/>
        <v>52.5</v>
      </c>
      <c r="L43" s="31">
        <v>10</v>
      </c>
      <c r="M43" s="33">
        <f t="shared" si="2"/>
        <v>89.7</v>
      </c>
      <c r="N43" s="23"/>
      <c r="R43" s="23"/>
      <c r="S43" s="23"/>
    </row>
    <row r="44" spans="1:19" x14ac:dyDescent="0.25">
      <c r="A44" s="28">
        <v>39</v>
      </c>
      <c r="B44" s="29">
        <v>21033154</v>
      </c>
      <c r="C44" s="30" t="s">
        <v>92</v>
      </c>
      <c r="D44" s="29">
        <v>5</v>
      </c>
      <c r="E44" s="31">
        <v>5</v>
      </c>
      <c r="F44" s="31">
        <v>5</v>
      </c>
      <c r="G44" s="31">
        <v>5</v>
      </c>
      <c r="H44" s="31" t="s">
        <v>112</v>
      </c>
      <c r="I44" s="32"/>
      <c r="J44" s="31">
        <v>75</v>
      </c>
      <c r="K44" s="47">
        <f t="shared" si="1"/>
        <v>52.5</v>
      </c>
      <c r="L44" s="31">
        <v>12</v>
      </c>
      <c r="M44" s="33">
        <f t="shared" si="2"/>
        <v>84.5</v>
      </c>
      <c r="N44" s="23"/>
      <c r="R44" s="23"/>
      <c r="S44" s="23"/>
    </row>
    <row r="45" spans="1:19" x14ac:dyDescent="0.25">
      <c r="A45" s="28">
        <v>40</v>
      </c>
      <c r="B45" s="29">
        <v>21033155</v>
      </c>
      <c r="C45" s="30" t="s">
        <v>93</v>
      </c>
      <c r="D45" s="29">
        <v>3</v>
      </c>
      <c r="E45" s="31">
        <v>4</v>
      </c>
      <c r="F45" s="31">
        <v>5</v>
      </c>
      <c r="G45" s="43">
        <v>5</v>
      </c>
      <c r="H45" s="31" t="s">
        <v>112</v>
      </c>
      <c r="I45" s="32"/>
      <c r="J45" s="31">
        <v>74</v>
      </c>
      <c r="K45" s="47">
        <f t="shared" si="1"/>
        <v>51.8</v>
      </c>
      <c r="L45" s="31">
        <v>6</v>
      </c>
      <c r="M45" s="33">
        <f t="shared" si="2"/>
        <v>74.8</v>
      </c>
      <c r="N45" s="23"/>
      <c r="R45" s="23"/>
      <c r="S45" s="23"/>
    </row>
    <row r="46" spans="1:19" x14ac:dyDescent="0.25">
      <c r="A46" s="28">
        <v>41</v>
      </c>
      <c r="B46" s="29">
        <v>21033091</v>
      </c>
      <c r="C46" s="35" t="s">
        <v>94</v>
      </c>
      <c r="D46" s="29">
        <v>4</v>
      </c>
      <c r="E46" s="31">
        <v>4</v>
      </c>
      <c r="F46" s="39"/>
      <c r="G46" s="43">
        <v>5</v>
      </c>
      <c r="H46" s="31">
        <v>5</v>
      </c>
      <c r="I46" s="32">
        <f t="shared" si="3"/>
        <v>1</v>
      </c>
      <c r="J46" s="31">
        <v>75</v>
      </c>
      <c r="K46" s="47">
        <f t="shared" si="1"/>
        <v>52.5</v>
      </c>
      <c r="L46" s="31">
        <v>13</v>
      </c>
      <c r="M46" s="33">
        <f t="shared" si="2"/>
        <v>79.5</v>
      </c>
      <c r="N46" s="23"/>
      <c r="R46" s="23"/>
      <c r="S46" s="23"/>
    </row>
    <row r="47" spans="1:19" x14ac:dyDescent="0.25">
      <c r="A47" s="28">
        <v>42</v>
      </c>
      <c r="B47" s="29">
        <v>21033157</v>
      </c>
      <c r="C47" s="35" t="s">
        <v>95</v>
      </c>
      <c r="D47" s="29">
        <v>4</v>
      </c>
      <c r="E47" s="31">
        <v>4</v>
      </c>
      <c r="F47" s="39"/>
      <c r="G47" s="43">
        <v>5</v>
      </c>
      <c r="H47" s="31">
        <v>14</v>
      </c>
      <c r="I47" s="32">
        <f t="shared" si="3"/>
        <v>2.8</v>
      </c>
      <c r="J47" s="31">
        <v>75</v>
      </c>
      <c r="K47" s="47">
        <f t="shared" si="1"/>
        <v>52.5</v>
      </c>
      <c r="L47" s="31">
        <v>12</v>
      </c>
      <c r="M47" s="33">
        <f t="shared" si="2"/>
        <v>80.3</v>
      </c>
      <c r="N47" s="23"/>
      <c r="R47" s="23"/>
      <c r="S47" s="23"/>
    </row>
    <row r="48" spans="1:19" x14ac:dyDescent="0.25">
      <c r="A48" s="28">
        <v>43</v>
      </c>
      <c r="B48" s="29">
        <v>21033116</v>
      </c>
      <c r="C48" s="35" t="s">
        <v>96</v>
      </c>
      <c r="D48" s="29">
        <v>3</v>
      </c>
      <c r="E48" s="31">
        <v>4</v>
      </c>
      <c r="F48" s="31">
        <v>5</v>
      </c>
      <c r="G48" s="43">
        <v>5</v>
      </c>
      <c r="H48" s="31" t="s">
        <v>112</v>
      </c>
      <c r="I48" s="32"/>
      <c r="J48" s="31">
        <v>83</v>
      </c>
      <c r="K48" s="47">
        <f t="shared" si="1"/>
        <v>58.099999999999994</v>
      </c>
      <c r="L48" s="31"/>
      <c r="M48" s="33">
        <f t="shared" si="2"/>
        <v>75.099999999999994</v>
      </c>
      <c r="N48" s="23"/>
      <c r="R48" s="23"/>
      <c r="S48" s="23"/>
    </row>
    <row r="49" spans="1:19" x14ac:dyDescent="0.25">
      <c r="A49" s="28">
        <v>44</v>
      </c>
      <c r="B49" s="29">
        <v>21033144</v>
      </c>
      <c r="C49" s="35" t="s">
        <v>97</v>
      </c>
      <c r="D49" s="29">
        <v>4</v>
      </c>
      <c r="E49" s="31">
        <v>3</v>
      </c>
      <c r="F49" s="39"/>
      <c r="G49" s="39"/>
      <c r="H49" s="39" t="s">
        <v>112</v>
      </c>
      <c r="I49" s="38"/>
      <c r="J49" s="39">
        <v>80</v>
      </c>
      <c r="K49" s="47">
        <f t="shared" si="1"/>
        <v>56</v>
      </c>
      <c r="L49" s="31">
        <v>12</v>
      </c>
      <c r="M49" s="33">
        <f t="shared" si="2"/>
        <v>75</v>
      </c>
      <c r="N49" s="23"/>
      <c r="R49" s="23"/>
      <c r="S49" s="23"/>
    </row>
    <row r="50" spans="1:19" x14ac:dyDescent="0.25">
      <c r="A50" s="28">
        <v>45</v>
      </c>
      <c r="B50" s="29">
        <v>21033108</v>
      </c>
      <c r="C50" s="35" t="s">
        <v>98</v>
      </c>
      <c r="D50" s="29">
        <v>3</v>
      </c>
      <c r="E50" s="31">
        <v>4</v>
      </c>
      <c r="F50" s="39"/>
      <c r="G50" s="39"/>
      <c r="H50" s="31">
        <v>15</v>
      </c>
      <c r="I50" s="32">
        <f t="shared" si="3"/>
        <v>3</v>
      </c>
      <c r="J50" s="31">
        <v>79</v>
      </c>
      <c r="K50" s="47">
        <f t="shared" si="1"/>
        <v>55.3</v>
      </c>
      <c r="L50" s="31">
        <v>10</v>
      </c>
      <c r="M50" s="33">
        <f t="shared" si="2"/>
        <v>75.3</v>
      </c>
      <c r="N50" s="23"/>
      <c r="R50" s="23"/>
      <c r="S50" s="23"/>
    </row>
    <row r="51" spans="1:19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R51" s="23"/>
      <c r="S51" s="23"/>
    </row>
    <row r="52" spans="1:19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R52" s="23"/>
      <c r="S52" s="23"/>
    </row>
    <row r="53" spans="1:19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R53" s="23"/>
      <c r="S53" s="23"/>
    </row>
    <row r="54" spans="1:19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R54" s="23"/>
      <c r="S54" s="23"/>
    </row>
    <row r="55" spans="1:19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56" t="s">
        <v>17</v>
      </c>
      <c r="L55" s="56"/>
      <c r="M55" s="23"/>
      <c r="N55" s="23"/>
      <c r="R55" s="23"/>
      <c r="S55" s="23"/>
    </row>
    <row r="56" spans="1:19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56" t="s">
        <v>18</v>
      </c>
      <c r="L56" s="56"/>
      <c r="M56" s="23"/>
      <c r="N56" s="23"/>
      <c r="R56" s="23"/>
      <c r="S56" s="23"/>
    </row>
    <row r="57" spans="1:19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R57" s="23"/>
      <c r="S57" s="23"/>
    </row>
    <row r="58" spans="1:19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R58" s="23"/>
      <c r="S58" s="23"/>
    </row>
    <row r="59" spans="1:19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R59" s="23"/>
      <c r="S59" s="23"/>
    </row>
    <row r="60" spans="1:19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R60" s="23"/>
      <c r="S60" s="23"/>
    </row>
    <row r="61" spans="1:19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R61" s="23"/>
      <c r="S61" s="23"/>
    </row>
    <row r="62" spans="1:19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R62" s="23"/>
      <c r="S62" s="23"/>
    </row>
    <row r="63" spans="1:19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R63" s="23"/>
      <c r="S63" s="23"/>
    </row>
    <row r="64" spans="1:19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R64" s="23"/>
      <c r="S64" s="23"/>
    </row>
    <row r="65" spans="1:19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R65" s="23"/>
      <c r="S65" s="23"/>
    </row>
    <row r="66" spans="1:19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R66" s="23"/>
      <c r="S66" s="23"/>
    </row>
    <row r="67" spans="1:19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R67" s="23"/>
      <c r="S67" s="23"/>
    </row>
    <row r="68" spans="1:19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R68" s="23"/>
      <c r="S68" s="23"/>
    </row>
    <row r="69" spans="1:19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R69" s="23"/>
      <c r="S69" s="23"/>
    </row>
    <row r="70" spans="1:19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R70" s="23"/>
      <c r="S70" s="23"/>
    </row>
    <row r="71" spans="1:19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R71" s="23"/>
      <c r="S71" s="23"/>
    </row>
    <row r="72" spans="1:19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R72" s="23"/>
      <c r="S72" s="23"/>
    </row>
    <row r="73" spans="1:19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R73" s="23"/>
      <c r="S73" s="23"/>
    </row>
    <row r="74" spans="1:19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R74" s="23"/>
      <c r="S74" s="23"/>
    </row>
    <row r="75" spans="1:19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R75" s="23"/>
      <c r="S75" s="23"/>
    </row>
    <row r="76" spans="1:19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R76" s="23"/>
      <c r="S76" s="23"/>
    </row>
    <row r="77" spans="1:19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R77" s="23"/>
      <c r="S77" s="23"/>
    </row>
    <row r="78" spans="1:19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R78" s="23"/>
      <c r="S78" s="23"/>
    </row>
    <row r="79" spans="1:19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spans="1:19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spans="1:19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</row>
    <row r="82" spans="1:19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</row>
    <row r="83" spans="1:19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r="84" spans="1:19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</row>
    <row r="85" spans="1:19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</row>
    <row r="86" spans="1:19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spans="1:19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r="88" spans="1:19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spans="1:19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</row>
    <row r="90" spans="1:19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</row>
    <row r="91" spans="1:19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r="92" spans="1:19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</row>
    <row r="93" spans="1:19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</row>
    <row r="94" spans="1:19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</row>
    <row r="95" spans="1:19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r="96" spans="1:19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spans="1:19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spans="1:19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spans="1:19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spans="1:19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spans="1:19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  <row r="102" spans="1:19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</row>
    <row r="103" spans="1:19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r="104" spans="1:19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</row>
    <row r="105" spans="1:19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</row>
    <row r="106" spans="1:19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spans="1:19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1:19" x14ac:dyDescent="0.2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1:19" x14ac:dyDescent="0.2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spans="1:19" x14ac:dyDescent="0.2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</row>
    <row r="111" spans="1:19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</row>
    <row r="112" spans="1:19" x14ac:dyDescent="0.2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</row>
    <row r="113" spans="1:19" x14ac:dyDescent="0.2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</row>
    <row r="114" spans="1:19" x14ac:dyDescent="0.2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</row>
    <row r="115" spans="1:19" x14ac:dyDescent="0.2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</row>
    <row r="116" spans="1:19" x14ac:dyDescent="0.2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spans="1:19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</row>
    <row r="118" spans="1:19" x14ac:dyDescent="0.2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</row>
    <row r="119" spans="1:19" x14ac:dyDescent="0.2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</row>
    <row r="120" spans="1:19" x14ac:dyDescent="0.2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</row>
    <row r="121" spans="1:19" x14ac:dyDescent="0.2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</row>
    <row r="122" spans="1:19" x14ac:dyDescent="0.2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</row>
    <row r="123" spans="1:19" x14ac:dyDescent="0.2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</row>
    <row r="124" spans="1:19" x14ac:dyDescent="0.2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</row>
    <row r="125" spans="1:19" x14ac:dyDescent="0.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</row>
    <row r="126" spans="1:19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spans="1:19" x14ac:dyDescent="0.2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spans="1:19" x14ac:dyDescent="0.2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spans="1:19" x14ac:dyDescent="0.2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spans="1:19" x14ac:dyDescent="0.2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</row>
    <row r="131" spans="1:19" x14ac:dyDescent="0.2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</row>
    <row r="132" spans="1:19" x14ac:dyDescent="0.2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</row>
    <row r="133" spans="1:19" x14ac:dyDescent="0.2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</row>
    <row r="134" spans="1:19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</row>
    <row r="135" spans="1:19" x14ac:dyDescent="0.2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</row>
    <row r="136" spans="1:19" x14ac:dyDescent="0.2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spans="1:19" x14ac:dyDescent="0.2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</row>
    <row r="138" spans="1:19" x14ac:dyDescent="0.2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</row>
    <row r="139" spans="1:19" x14ac:dyDescent="0.2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</row>
    <row r="140" spans="1:19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</row>
    <row r="141" spans="1:19" x14ac:dyDescent="0.2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</row>
    <row r="142" spans="1:19" x14ac:dyDescent="0.2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</row>
    <row r="143" spans="1:19" x14ac:dyDescent="0.2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</row>
    <row r="144" spans="1:19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</row>
    <row r="145" spans="1:19" x14ac:dyDescent="0.2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</row>
    <row r="146" spans="1:19" x14ac:dyDescent="0.2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spans="1:19" x14ac:dyDescent="0.2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</row>
    <row r="148" spans="1:19" x14ac:dyDescent="0.2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</row>
    <row r="149" spans="1:19" x14ac:dyDescent="0.2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</row>
    <row r="150" spans="1:19" x14ac:dyDescent="0.2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</row>
    <row r="151" spans="1:19" x14ac:dyDescent="0.2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</row>
    <row r="152" spans="1:19" x14ac:dyDescent="0.2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</row>
    <row r="153" spans="1:19" x14ac:dyDescent="0.2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</row>
    <row r="154" spans="1:19" x14ac:dyDescent="0.2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</row>
    <row r="155" spans="1:19" x14ac:dyDescent="0.2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</row>
    <row r="156" spans="1:19" x14ac:dyDescent="0.2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spans="1:19" x14ac:dyDescent="0.2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</row>
    <row r="158" spans="1:19" x14ac:dyDescent="0.2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</row>
    <row r="159" spans="1:19" x14ac:dyDescent="0.2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</row>
    <row r="160" spans="1:19" x14ac:dyDescent="0.2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</row>
    <row r="161" spans="1:19" x14ac:dyDescent="0.2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</row>
    <row r="162" spans="1:19" x14ac:dyDescent="0.2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</row>
    <row r="163" spans="1:19" x14ac:dyDescent="0.2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</row>
    <row r="164" spans="1:19" x14ac:dyDescent="0.2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</row>
    <row r="165" spans="1:19" x14ac:dyDescent="0.2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</row>
    <row r="166" spans="1:19" x14ac:dyDescent="0.2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 spans="1:19" x14ac:dyDescent="0.2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</row>
    <row r="168" spans="1:19" x14ac:dyDescent="0.2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</row>
    <row r="169" spans="1:19" x14ac:dyDescent="0.2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</row>
    <row r="170" spans="1:19" x14ac:dyDescent="0.2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</row>
    <row r="171" spans="1:19" x14ac:dyDescent="0.2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</row>
    <row r="172" spans="1:19" x14ac:dyDescent="0.2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</row>
    <row r="173" spans="1:19" x14ac:dyDescent="0.2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</row>
    <row r="174" spans="1:19" x14ac:dyDescent="0.2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</row>
    <row r="175" spans="1:19" x14ac:dyDescent="0.2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</row>
    <row r="176" spans="1:19" x14ac:dyDescent="0.2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 spans="1:19" x14ac:dyDescent="0.2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</row>
    <row r="178" spans="1:19" x14ac:dyDescent="0.2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</row>
    <row r="179" spans="1:19" x14ac:dyDescent="0.2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</row>
    <row r="180" spans="1:19" x14ac:dyDescent="0.2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</row>
    <row r="181" spans="1:19" x14ac:dyDescent="0.2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</row>
    <row r="182" spans="1:19" x14ac:dyDescent="0.2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</row>
    <row r="183" spans="1:19" x14ac:dyDescent="0.2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</row>
    <row r="184" spans="1:19" x14ac:dyDescent="0.2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</row>
    <row r="185" spans="1:19" x14ac:dyDescent="0.2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</row>
    <row r="186" spans="1:19" x14ac:dyDescent="0.2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 spans="1:19" x14ac:dyDescent="0.2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</row>
    <row r="188" spans="1:19" x14ac:dyDescent="0.2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</row>
    <row r="189" spans="1:19" x14ac:dyDescent="0.2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</row>
    <row r="190" spans="1:19" x14ac:dyDescent="0.2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</row>
    <row r="191" spans="1:19" x14ac:dyDescent="0.2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</row>
    <row r="192" spans="1:19" x14ac:dyDescent="0.2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</row>
    <row r="193" spans="1:19" x14ac:dyDescent="0.2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</row>
    <row r="194" spans="1:19" x14ac:dyDescent="0.2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</row>
    <row r="195" spans="1:19" x14ac:dyDescent="0.2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</row>
    <row r="196" spans="1:19" x14ac:dyDescent="0.2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spans="1:19" x14ac:dyDescent="0.2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</row>
    <row r="198" spans="1:19" x14ac:dyDescent="0.2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</row>
    <row r="199" spans="1:19" x14ac:dyDescent="0.2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</row>
    <row r="200" spans="1:19" x14ac:dyDescent="0.2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spans="1:19" x14ac:dyDescent="0.2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</row>
    <row r="202" spans="1:19" x14ac:dyDescent="0.2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</row>
    <row r="203" spans="1:19" x14ac:dyDescent="0.2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</row>
    <row r="204" spans="1:19" x14ac:dyDescent="0.2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</row>
    <row r="205" spans="1:19" x14ac:dyDescent="0.2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</row>
    <row r="206" spans="1:19" x14ac:dyDescent="0.2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 spans="1:19" x14ac:dyDescent="0.2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</row>
    <row r="208" spans="1:19" x14ac:dyDescent="0.2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</row>
    <row r="209" spans="1:19" x14ac:dyDescent="0.2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</row>
    <row r="210" spans="1:19" x14ac:dyDescent="0.2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</row>
    <row r="211" spans="1:19" x14ac:dyDescent="0.2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</row>
    <row r="212" spans="1:19" x14ac:dyDescent="0.2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</row>
    <row r="213" spans="1:19" x14ac:dyDescent="0.2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</row>
    <row r="214" spans="1:19" x14ac:dyDescent="0.2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</row>
    <row r="215" spans="1:19" x14ac:dyDescent="0.2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</row>
    <row r="216" spans="1:19" x14ac:dyDescent="0.2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 spans="1:19" x14ac:dyDescent="0.2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</row>
    <row r="218" spans="1:19" x14ac:dyDescent="0.2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</row>
    <row r="219" spans="1:19" x14ac:dyDescent="0.2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</row>
    <row r="220" spans="1:19" x14ac:dyDescent="0.2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</row>
    <row r="221" spans="1:19" x14ac:dyDescent="0.2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</row>
    <row r="222" spans="1:19" x14ac:dyDescent="0.2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</row>
    <row r="223" spans="1:19" x14ac:dyDescent="0.2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</row>
    <row r="224" spans="1:19" x14ac:dyDescent="0.2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</row>
    <row r="225" spans="1:19" x14ac:dyDescent="0.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</row>
    <row r="226" spans="1:19" x14ac:dyDescent="0.2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 spans="1:19" x14ac:dyDescent="0.2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</row>
    <row r="228" spans="1:19" x14ac:dyDescent="0.2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</row>
    <row r="229" spans="1:19" x14ac:dyDescent="0.2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</row>
    <row r="230" spans="1:19" x14ac:dyDescent="0.2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</row>
    <row r="231" spans="1:19" x14ac:dyDescent="0.2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</row>
    <row r="232" spans="1:19" x14ac:dyDescent="0.2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</row>
    <row r="233" spans="1:19" x14ac:dyDescent="0.2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</row>
    <row r="234" spans="1:19" x14ac:dyDescent="0.2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</row>
    <row r="235" spans="1:19" x14ac:dyDescent="0.2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</row>
    <row r="236" spans="1:19" x14ac:dyDescent="0.2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 spans="1:19" x14ac:dyDescent="0.2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</row>
    <row r="238" spans="1:19" x14ac:dyDescent="0.2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</row>
    <row r="239" spans="1:19" x14ac:dyDescent="0.2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</row>
    <row r="240" spans="1:19" x14ac:dyDescent="0.2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</row>
    <row r="241" spans="1:19" x14ac:dyDescent="0.2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</row>
    <row r="242" spans="1:19" x14ac:dyDescent="0.2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</row>
    <row r="243" spans="1:19" x14ac:dyDescent="0.2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</row>
    <row r="244" spans="1:19" x14ac:dyDescent="0.2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</row>
    <row r="245" spans="1:19" x14ac:dyDescent="0.2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</row>
    <row r="246" spans="1:19" x14ac:dyDescent="0.2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 spans="1:19" x14ac:dyDescent="0.2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</row>
    <row r="248" spans="1:19" x14ac:dyDescent="0.2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</row>
    <row r="249" spans="1:19" x14ac:dyDescent="0.2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</row>
    <row r="250" spans="1:19" x14ac:dyDescent="0.2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</row>
    <row r="251" spans="1:19" x14ac:dyDescent="0.2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</row>
    <row r="252" spans="1:19" x14ac:dyDescent="0.2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</row>
    <row r="253" spans="1:19" x14ac:dyDescent="0.2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</row>
    <row r="254" spans="1:19" x14ac:dyDescent="0.2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</row>
    <row r="255" spans="1:19" x14ac:dyDescent="0.2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</row>
    <row r="256" spans="1:19" x14ac:dyDescent="0.2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 spans="1:19" x14ac:dyDescent="0.2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</row>
    <row r="258" spans="1:19" x14ac:dyDescent="0.2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</row>
    <row r="259" spans="1:19" x14ac:dyDescent="0.2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</row>
    <row r="260" spans="1:19" x14ac:dyDescent="0.2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</row>
    <row r="261" spans="1:19" x14ac:dyDescent="0.2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</row>
    <row r="262" spans="1:19" x14ac:dyDescent="0.2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</row>
    <row r="263" spans="1:19" x14ac:dyDescent="0.2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</row>
    <row r="264" spans="1:19" x14ac:dyDescent="0.2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</row>
    <row r="265" spans="1:19" x14ac:dyDescent="0.2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</row>
    <row r="266" spans="1:19" x14ac:dyDescent="0.2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 spans="1:19" x14ac:dyDescent="0.2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</row>
    <row r="268" spans="1:19" x14ac:dyDescent="0.2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 spans="1:19" x14ac:dyDescent="0.2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</row>
    <row r="270" spans="1:19" x14ac:dyDescent="0.2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</row>
    <row r="271" spans="1:19" x14ac:dyDescent="0.2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</row>
    <row r="272" spans="1:19" x14ac:dyDescent="0.2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</row>
    <row r="273" spans="1:19" x14ac:dyDescent="0.2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</row>
    <row r="274" spans="1:19" x14ac:dyDescent="0.2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</row>
    <row r="275" spans="1:19" x14ac:dyDescent="0.2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</row>
    <row r="276" spans="1:19" x14ac:dyDescent="0.2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 spans="1:19" x14ac:dyDescent="0.2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</row>
    <row r="278" spans="1:19" x14ac:dyDescent="0.2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</row>
    <row r="279" spans="1:19" x14ac:dyDescent="0.2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</row>
    <row r="280" spans="1:19" x14ac:dyDescent="0.2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</row>
    <row r="281" spans="1:19" x14ac:dyDescent="0.2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</row>
    <row r="282" spans="1:19" x14ac:dyDescent="0.2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</row>
    <row r="283" spans="1:19" x14ac:dyDescent="0.2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</row>
    <row r="284" spans="1:19" x14ac:dyDescent="0.2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</row>
    <row r="285" spans="1:19" x14ac:dyDescent="0.2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</row>
    <row r="286" spans="1:19" x14ac:dyDescent="0.2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 spans="1:19" x14ac:dyDescent="0.2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</row>
    <row r="288" spans="1:19" x14ac:dyDescent="0.2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</row>
    <row r="289" spans="1:19" x14ac:dyDescent="0.2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</row>
    <row r="290" spans="1:19" x14ac:dyDescent="0.2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</row>
    <row r="291" spans="1:19" x14ac:dyDescent="0.2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</row>
    <row r="292" spans="1:19" x14ac:dyDescent="0.2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</row>
    <row r="293" spans="1:19" x14ac:dyDescent="0.2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</row>
    <row r="294" spans="1:19" x14ac:dyDescent="0.2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</row>
    <row r="295" spans="1:19" x14ac:dyDescent="0.2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</row>
    <row r="296" spans="1:19" x14ac:dyDescent="0.2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 spans="1:19" x14ac:dyDescent="0.2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</row>
    <row r="298" spans="1:19" x14ac:dyDescent="0.2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</row>
    <row r="299" spans="1:19" x14ac:dyDescent="0.2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</row>
    <row r="300" spans="1:19" x14ac:dyDescent="0.2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</row>
    <row r="301" spans="1:19" x14ac:dyDescent="0.2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</row>
    <row r="302" spans="1:19" x14ac:dyDescent="0.2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</row>
    <row r="303" spans="1:19" x14ac:dyDescent="0.2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</row>
    <row r="304" spans="1:19" x14ac:dyDescent="0.2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</row>
    <row r="305" spans="1:19" x14ac:dyDescent="0.2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</row>
    <row r="306" spans="1:19" x14ac:dyDescent="0.2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</row>
    <row r="307" spans="1:19" x14ac:dyDescent="0.2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</row>
    <row r="308" spans="1:19" x14ac:dyDescent="0.2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</row>
    <row r="309" spans="1:19" x14ac:dyDescent="0.2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</row>
    <row r="310" spans="1:19" x14ac:dyDescent="0.2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</row>
    <row r="311" spans="1:19" x14ac:dyDescent="0.2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</row>
    <row r="312" spans="1:19" x14ac:dyDescent="0.2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</row>
    <row r="313" spans="1:19" x14ac:dyDescent="0.2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</row>
    <row r="314" spans="1:19" x14ac:dyDescent="0.2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</row>
    <row r="315" spans="1:19" x14ac:dyDescent="0.2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</row>
    <row r="316" spans="1:19" x14ac:dyDescent="0.2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</row>
    <row r="317" spans="1:19" x14ac:dyDescent="0.2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</row>
    <row r="318" spans="1:19" x14ac:dyDescent="0.2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</row>
    <row r="319" spans="1:19" x14ac:dyDescent="0.2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</row>
    <row r="320" spans="1:19" x14ac:dyDescent="0.2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</row>
    <row r="321" spans="1:19" x14ac:dyDescent="0.2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</row>
    <row r="322" spans="1:19" x14ac:dyDescent="0.2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</row>
    <row r="323" spans="1:19" x14ac:dyDescent="0.2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</row>
    <row r="324" spans="1:19" x14ac:dyDescent="0.2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</row>
    <row r="325" spans="1:19" x14ac:dyDescent="0.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</row>
    <row r="326" spans="1:19" x14ac:dyDescent="0.2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</row>
    <row r="327" spans="1:19" x14ac:dyDescent="0.2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</row>
    <row r="328" spans="1:19" x14ac:dyDescent="0.2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</row>
    <row r="329" spans="1:19" x14ac:dyDescent="0.2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</row>
    <row r="330" spans="1:19" x14ac:dyDescent="0.2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</row>
    <row r="331" spans="1:19" x14ac:dyDescent="0.2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</row>
    <row r="332" spans="1:19" x14ac:dyDescent="0.2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</row>
    <row r="333" spans="1:19" x14ac:dyDescent="0.2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</row>
    <row r="334" spans="1:19" x14ac:dyDescent="0.2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</row>
    <row r="335" spans="1:19" x14ac:dyDescent="0.2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</row>
    <row r="336" spans="1:19" x14ac:dyDescent="0.2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</row>
    <row r="337" spans="1:19" x14ac:dyDescent="0.2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</row>
    <row r="338" spans="1:19" x14ac:dyDescent="0.2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</row>
    <row r="339" spans="1:19" x14ac:dyDescent="0.2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</row>
    <row r="340" spans="1:19" x14ac:dyDescent="0.2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</row>
    <row r="341" spans="1:19" x14ac:dyDescent="0.2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</row>
    <row r="342" spans="1:19" x14ac:dyDescent="0.2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</row>
    <row r="343" spans="1:19" x14ac:dyDescent="0.2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</row>
    <row r="344" spans="1:19" x14ac:dyDescent="0.2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</row>
    <row r="345" spans="1:19" x14ac:dyDescent="0.2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</row>
    <row r="346" spans="1:19" x14ac:dyDescent="0.2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</row>
    <row r="347" spans="1:19" x14ac:dyDescent="0.2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</row>
    <row r="348" spans="1:19" x14ac:dyDescent="0.2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</row>
    <row r="349" spans="1:19" x14ac:dyDescent="0.2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</row>
    <row r="350" spans="1:19" x14ac:dyDescent="0.2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</row>
    <row r="351" spans="1:19" x14ac:dyDescent="0.2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</row>
    <row r="352" spans="1:19" x14ac:dyDescent="0.2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</row>
    <row r="353" spans="1:19" x14ac:dyDescent="0.2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</row>
    <row r="354" spans="1:19" x14ac:dyDescent="0.2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</row>
    <row r="355" spans="1:19" x14ac:dyDescent="0.2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</row>
    <row r="356" spans="1:19" x14ac:dyDescent="0.2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</row>
    <row r="357" spans="1:19" x14ac:dyDescent="0.2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</row>
    <row r="358" spans="1:19" x14ac:dyDescent="0.2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</row>
    <row r="359" spans="1:19" x14ac:dyDescent="0.2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</row>
    <row r="360" spans="1:19" x14ac:dyDescent="0.2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</row>
    <row r="361" spans="1:19" x14ac:dyDescent="0.2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</row>
    <row r="362" spans="1:19" x14ac:dyDescent="0.2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</row>
    <row r="363" spans="1:19" x14ac:dyDescent="0.2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</row>
    <row r="364" spans="1:19" x14ac:dyDescent="0.2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</row>
    <row r="365" spans="1:19" x14ac:dyDescent="0.2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</row>
    <row r="366" spans="1:19" x14ac:dyDescent="0.2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</row>
    <row r="367" spans="1:19" x14ac:dyDescent="0.2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</row>
    <row r="368" spans="1:19" x14ac:dyDescent="0.2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</row>
    <row r="369" spans="1:19" x14ac:dyDescent="0.2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</row>
    <row r="370" spans="1:19" x14ac:dyDescent="0.2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</row>
    <row r="371" spans="1:19" x14ac:dyDescent="0.2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</row>
    <row r="372" spans="1:19" x14ac:dyDescent="0.2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</row>
    <row r="373" spans="1:19" x14ac:dyDescent="0.2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</row>
    <row r="374" spans="1:19" x14ac:dyDescent="0.2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</row>
    <row r="375" spans="1:19" x14ac:dyDescent="0.2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</row>
    <row r="376" spans="1:19" x14ac:dyDescent="0.2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</row>
    <row r="377" spans="1:19" x14ac:dyDescent="0.2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</row>
    <row r="378" spans="1:19" x14ac:dyDescent="0.2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</row>
    <row r="379" spans="1:19" x14ac:dyDescent="0.2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</row>
    <row r="380" spans="1:19" x14ac:dyDescent="0.2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</row>
    <row r="381" spans="1:19" x14ac:dyDescent="0.2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</row>
    <row r="382" spans="1:19" x14ac:dyDescent="0.2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</row>
    <row r="383" spans="1:19" x14ac:dyDescent="0.2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</row>
    <row r="384" spans="1:19" x14ac:dyDescent="0.2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</row>
    <row r="385" spans="1:19" x14ac:dyDescent="0.2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</row>
    <row r="386" spans="1:19" x14ac:dyDescent="0.2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</row>
    <row r="387" spans="1:19" x14ac:dyDescent="0.2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</row>
    <row r="388" spans="1:19" x14ac:dyDescent="0.2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</row>
    <row r="389" spans="1:19" x14ac:dyDescent="0.2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</row>
    <row r="390" spans="1:19" x14ac:dyDescent="0.2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</row>
    <row r="391" spans="1:19" x14ac:dyDescent="0.2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</row>
    <row r="392" spans="1:19" x14ac:dyDescent="0.2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</row>
    <row r="393" spans="1:19" x14ac:dyDescent="0.2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</row>
    <row r="394" spans="1:19" x14ac:dyDescent="0.2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</row>
    <row r="395" spans="1:19" x14ac:dyDescent="0.2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</row>
    <row r="396" spans="1:19" x14ac:dyDescent="0.2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</row>
    <row r="397" spans="1:19" x14ac:dyDescent="0.2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</row>
    <row r="398" spans="1:19" x14ac:dyDescent="0.2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</row>
    <row r="399" spans="1:19" x14ac:dyDescent="0.2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</row>
    <row r="400" spans="1:19" x14ac:dyDescent="0.2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</row>
    <row r="401" spans="1:19" x14ac:dyDescent="0.2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</row>
    <row r="402" spans="1:19" x14ac:dyDescent="0.2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</row>
    <row r="403" spans="1:19" x14ac:dyDescent="0.2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</row>
    <row r="404" spans="1:19" x14ac:dyDescent="0.2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</row>
    <row r="405" spans="1:19" x14ac:dyDescent="0.2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</row>
    <row r="406" spans="1:19" x14ac:dyDescent="0.2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</row>
    <row r="407" spans="1:19" x14ac:dyDescent="0.2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</row>
    <row r="408" spans="1:19" x14ac:dyDescent="0.2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</row>
    <row r="409" spans="1:19" x14ac:dyDescent="0.2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</row>
    <row r="410" spans="1:19" x14ac:dyDescent="0.2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</row>
    <row r="411" spans="1:19" x14ac:dyDescent="0.2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</row>
    <row r="412" spans="1:19" x14ac:dyDescent="0.2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</row>
    <row r="413" spans="1:19" x14ac:dyDescent="0.2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</row>
    <row r="414" spans="1:19" x14ac:dyDescent="0.2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</row>
    <row r="415" spans="1:19" x14ac:dyDescent="0.2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</row>
    <row r="416" spans="1:19" x14ac:dyDescent="0.2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</row>
    <row r="417" spans="1:19" x14ac:dyDescent="0.2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</row>
    <row r="418" spans="1:19" x14ac:dyDescent="0.2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</row>
    <row r="419" spans="1:19" x14ac:dyDescent="0.2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</row>
    <row r="420" spans="1:19" x14ac:dyDescent="0.2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</row>
    <row r="421" spans="1:19" x14ac:dyDescent="0.2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</row>
    <row r="422" spans="1:19" x14ac:dyDescent="0.2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</row>
    <row r="423" spans="1:19" x14ac:dyDescent="0.2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</row>
    <row r="424" spans="1:19" x14ac:dyDescent="0.2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</row>
    <row r="425" spans="1:19" x14ac:dyDescent="0.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</row>
    <row r="426" spans="1:19" x14ac:dyDescent="0.2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</row>
    <row r="427" spans="1:19" x14ac:dyDescent="0.2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</row>
    <row r="428" spans="1:19" x14ac:dyDescent="0.2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</row>
    <row r="429" spans="1:19" x14ac:dyDescent="0.2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</row>
    <row r="430" spans="1:19" x14ac:dyDescent="0.2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</row>
    <row r="431" spans="1:19" x14ac:dyDescent="0.2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</row>
    <row r="432" spans="1:19" x14ac:dyDescent="0.2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</row>
    <row r="433" spans="1:19" x14ac:dyDescent="0.2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</row>
    <row r="434" spans="1:19" x14ac:dyDescent="0.2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</row>
    <row r="435" spans="1:19" x14ac:dyDescent="0.2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</row>
    <row r="436" spans="1:19" x14ac:dyDescent="0.2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</row>
    <row r="437" spans="1:19" x14ac:dyDescent="0.2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</row>
    <row r="438" spans="1:19" x14ac:dyDescent="0.2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</row>
    <row r="439" spans="1:19" x14ac:dyDescent="0.2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</row>
    <row r="440" spans="1:19" x14ac:dyDescent="0.2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</row>
    <row r="441" spans="1:19" x14ac:dyDescent="0.2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</row>
    <row r="442" spans="1:19" x14ac:dyDescent="0.2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</row>
    <row r="443" spans="1:19" x14ac:dyDescent="0.2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</row>
    <row r="444" spans="1:19" x14ac:dyDescent="0.2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</row>
    <row r="445" spans="1:19" x14ac:dyDescent="0.2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</row>
    <row r="446" spans="1:19" x14ac:dyDescent="0.2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</row>
    <row r="447" spans="1:19" x14ac:dyDescent="0.2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</row>
    <row r="448" spans="1:19" x14ac:dyDescent="0.2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</row>
    <row r="449" spans="1:19" x14ac:dyDescent="0.2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</row>
    <row r="450" spans="1:19" x14ac:dyDescent="0.2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</row>
    <row r="451" spans="1:19" x14ac:dyDescent="0.2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</row>
    <row r="452" spans="1:19" x14ac:dyDescent="0.2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</row>
    <row r="453" spans="1:19" x14ac:dyDescent="0.2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</row>
    <row r="454" spans="1:19" x14ac:dyDescent="0.2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</row>
    <row r="455" spans="1:19" x14ac:dyDescent="0.2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</row>
    <row r="456" spans="1:19" x14ac:dyDescent="0.2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</row>
    <row r="457" spans="1:19" x14ac:dyDescent="0.2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</row>
    <row r="458" spans="1:19" x14ac:dyDescent="0.2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</row>
    <row r="459" spans="1:19" x14ac:dyDescent="0.2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</row>
    <row r="460" spans="1:19" x14ac:dyDescent="0.2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</row>
    <row r="461" spans="1:19" x14ac:dyDescent="0.2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</row>
    <row r="462" spans="1:19" x14ac:dyDescent="0.2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</row>
    <row r="463" spans="1:19" x14ac:dyDescent="0.2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</row>
    <row r="464" spans="1:19" x14ac:dyDescent="0.2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</row>
    <row r="465" spans="1:19" x14ac:dyDescent="0.2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</row>
    <row r="466" spans="1:19" x14ac:dyDescent="0.2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</row>
    <row r="467" spans="1:19" x14ac:dyDescent="0.2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</row>
    <row r="468" spans="1:19" x14ac:dyDescent="0.2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</row>
    <row r="469" spans="1:19" x14ac:dyDescent="0.2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</row>
    <row r="470" spans="1:19" x14ac:dyDescent="0.2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</row>
    <row r="471" spans="1:19" x14ac:dyDescent="0.2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</row>
    <row r="472" spans="1:19" x14ac:dyDescent="0.2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</row>
    <row r="473" spans="1:19" x14ac:dyDescent="0.2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</row>
    <row r="474" spans="1:19" x14ac:dyDescent="0.2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</row>
    <row r="475" spans="1:19" x14ac:dyDescent="0.2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</row>
    <row r="476" spans="1:19" x14ac:dyDescent="0.2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</row>
    <row r="477" spans="1:19" x14ac:dyDescent="0.2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</row>
    <row r="478" spans="1:19" x14ac:dyDescent="0.2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</row>
    <row r="479" spans="1:19" x14ac:dyDescent="0.2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</row>
    <row r="480" spans="1:19" x14ac:dyDescent="0.2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</row>
    <row r="481" spans="1:19" x14ac:dyDescent="0.2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</row>
    <row r="482" spans="1:19" x14ac:dyDescent="0.2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</row>
    <row r="483" spans="1:19" x14ac:dyDescent="0.2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</row>
    <row r="484" spans="1:19" x14ac:dyDescent="0.2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</row>
    <row r="485" spans="1:19" x14ac:dyDescent="0.2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</row>
    <row r="486" spans="1:19" x14ac:dyDescent="0.2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</row>
    <row r="487" spans="1:19" x14ac:dyDescent="0.2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</row>
    <row r="488" spans="1:19" x14ac:dyDescent="0.2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</row>
    <row r="489" spans="1:19" x14ac:dyDescent="0.2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</row>
    <row r="490" spans="1:19" x14ac:dyDescent="0.2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</row>
    <row r="491" spans="1:19" x14ac:dyDescent="0.2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</row>
    <row r="492" spans="1:19" x14ac:dyDescent="0.2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</row>
    <row r="493" spans="1:19" x14ac:dyDescent="0.2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</row>
    <row r="494" spans="1:19" x14ac:dyDescent="0.2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</row>
    <row r="495" spans="1:19" x14ac:dyDescent="0.2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</row>
    <row r="496" spans="1:19" x14ac:dyDescent="0.2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</row>
    <row r="497" spans="1:19" x14ac:dyDescent="0.2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</row>
    <row r="498" spans="1:19" x14ac:dyDescent="0.2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</row>
    <row r="499" spans="1:19" x14ac:dyDescent="0.2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</row>
    <row r="500" spans="1:19" x14ac:dyDescent="0.2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</row>
    <row r="501" spans="1:19" x14ac:dyDescent="0.2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</row>
    <row r="502" spans="1:19" x14ac:dyDescent="0.2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</row>
    <row r="503" spans="1:19" x14ac:dyDescent="0.2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</row>
    <row r="504" spans="1:19" x14ac:dyDescent="0.2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</row>
    <row r="505" spans="1:19" x14ac:dyDescent="0.2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</row>
    <row r="506" spans="1:19" x14ac:dyDescent="0.2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</row>
    <row r="507" spans="1:19" x14ac:dyDescent="0.2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</row>
    <row r="508" spans="1:19" x14ac:dyDescent="0.2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</row>
    <row r="509" spans="1:19" x14ac:dyDescent="0.2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</row>
    <row r="510" spans="1:19" x14ac:dyDescent="0.2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</row>
    <row r="511" spans="1:19" x14ac:dyDescent="0.2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</row>
    <row r="512" spans="1:19" x14ac:dyDescent="0.2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</row>
    <row r="513" spans="1:19" x14ac:dyDescent="0.2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</row>
    <row r="514" spans="1:19" x14ac:dyDescent="0.2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</row>
    <row r="515" spans="1:19" x14ac:dyDescent="0.2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</row>
    <row r="516" spans="1:19" x14ac:dyDescent="0.2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</row>
    <row r="517" spans="1:19" x14ac:dyDescent="0.2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</row>
    <row r="518" spans="1:19" x14ac:dyDescent="0.2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</row>
    <row r="519" spans="1:19" x14ac:dyDescent="0.2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</row>
    <row r="520" spans="1:19" x14ac:dyDescent="0.2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</row>
    <row r="521" spans="1:19" x14ac:dyDescent="0.2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</row>
    <row r="522" spans="1:19" x14ac:dyDescent="0.2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</row>
    <row r="523" spans="1:19" x14ac:dyDescent="0.2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</row>
    <row r="524" spans="1:19" x14ac:dyDescent="0.2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</row>
    <row r="525" spans="1:19" x14ac:dyDescent="0.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</row>
    <row r="526" spans="1:19" x14ac:dyDescent="0.2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</row>
    <row r="527" spans="1:19" x14ac:dyDescent="0.2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</row>
    <row r="528" spans="1:19" x14ac:dyDescent="0.2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</row>
    <row r="529" spans="1:19" x14ac:dyDescent="0.2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</row>
    <row r="530" spans="1:19" x14ac:dyDescent="0.2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</row>
    <row r="531" spans="1:19" x14ac:dyDescent="0.2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</row>
    <row r="532" spans="1:19" x14ac:dyDescent="0.2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</row>
    <row r="533" spans="1:19" x14ac:dyDescent="0.2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</row>
    <row r="534" spans="1:19" x14ac:dyDescent="0.2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</row>
    <row r="535" spans="1:19" x14ac:dyDescent="0.2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</row>
    <row r="536" spans="1:19" x14ac:dyDescent="0.2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</row>
    <row r="537" spans="1:19" x14ac:dyDescent="0.2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</row>
    <row r="538" spans="1:19" x14ac:dyDescent="0.2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</row>
    <row r="539" spans="1:19" x14ac:dyDescent="0.2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</row>
    <row r="540" spans="1:19" x14ac:dyDescent="0.2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</row>
    <row r="541" spans="1:19" x14ac:dyDescent="0.2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</row>
    <row r="542" spans="1:19" x14ac:dyDescent="0.2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</row>
    <row r="543" spans="1:19" x14ac:dyDescent="0.2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</row>
    <row r="544" spans="1:19" x14ac:dyDescent="0.2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</row>
    <row r="545" spans="1:19" x14ac:dyDescent="0.2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</row>
    <row r="546" spans="1:19" x14ac:dyDescent="0.2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</row>
    <row r="547" spans="1:19" x14ac:dyDescent="0.2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</row>
    <row r="548" spans="1:19" x14ac:dyDescent="0.2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</row>
    <row r="549" spans="1:19" x14ac:dyDescent="0.2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</row>
    <row r="550" spans="1:19" x14ac:dyDescent="0.2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</row>
    <row r="551" spans="1:19" x14ac:dyDescent="0.2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</row>
    <row r="552" spans="1:19" x14ac:dyDescent="0.2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</row>
    <row r="553" spans="1:19" x14ac:dyDescent="0.2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</row>
    <row r="554" spans="1:19" x14ac:dyDescent="0.2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</row>
    <row r="555" spans="1:19" x14ac:dyDescent="0.2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</row>
    <row r="556" spans="1:19" x14ac:dyDescent="0.2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</row>
    <row r="557" spans="1:19" x14ac:dyDescent="0.2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</row>
    <row r="558" spans="1:19" x14ac:dyDescent="0.2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</row>
    <row r="559" spans="1:19" x14ac:dyDescent="0.2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</row>
    <row r="560" spans="1:19" x14ac:dyDescent="0.2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</row>
    <row r="561" spans="1:19" x14ac:dyDescent="0.2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</row>
    <row r="562" spans="1:19" x14ac:dyDescent="0.2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</row>
    <row r="563" spans="1:19" x14ac:dyDescent="0.2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</row>
    <row r="564" spans="1:19" x14ac:dyDescent="0.2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</row>
    <row r="565" spans="1:19" x14ac:dyDescent="0.2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</row>
    <row r="566" spans="1:19" x14ac:dyDescent="0.2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</row>
    <row r="567" spans="1:19" x14ac:dyDescent="0.2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</row>
    <row r="568" spans="1:19" x14ac:dyDescent="0.2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</row>
    <row r="569" spans="1:19" x14ac:dyDescent="0.2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</row>
    <row r="570" spans="1:19" x14ac:dyDescent="0.2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</row>
    <row r="571" spans="1:19" x14ac:dyDescent="0.2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</row>
    <row r="572" spans="1:19" x14ac:dyDescent="0.2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</row>
    <row r="573" spans="1:19" x14ac:dyDescent="0.2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</row>
    <row r="574" spans="1:19" x14ac:dyDescent="0.2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</row>
    <row r="575" spans="1:19" x14ac:dyDescent="0.2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</row>
    <row r="576" spans="1:19" x14ac:dyDescent="0.2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</row>
    <row r="577" spans="1:19" x14ac:dyDescent="0.2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</row>
    <row r="578" spans="1:19" x14ac:dyDescent="0.2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</row>
    <row r="579" spans="1:19" x14ac:dyDescent="0.2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</row>
    <row r="580" spans="1:19" x14ac:dyDescent="0.2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</row>
    <row r="581" spans="1:19" x14ac:dyDescent="0.2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</row>
    <row r="582" spans="1:19" x14ac:dyDescent="0.2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</row>
    <row r="583" spans="1:19" x14ac:dyDescent="0.2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</row>
    <row r="584" spans="1:19" x14ac:dyDescent="0.2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</row>
    <row r="585" spans="1:19" x14ac:dyDescent="0.2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</row>
    <row r="586" spans="1:19" x14ac:dyDescent="0.2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</row>
    <row r="587" spans="1:19" x14ac:dyDescent="0.2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</row>
    <row r="588" spans="1:19" x14ac:dyDescent="0.2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</row>
    <row r="589" spans="1:19" x14ac:dyDescent="0.2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</row>
    <row r="590" spans="1:19" x14ac:dyDescent="0.2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</row>
    <row r="591" spans="1:19" x14ac:dyDescent="0.2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</row>
    <row r="592" spans="1:19" x14ac:dyDescent="0.2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</row>
    <row r="593" spans="1:19" x14ac:dyDescent="0.2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</row>
    <row r="594" spans="1:19" x14ac:dyDescent="0.2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</row>
    <row r="595" spans="1:19" x14ac:dyDescent="0.2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</row>
    <row r="596" spans="1:19" x14ac:dyDescent="0.2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</row>
    <row r="597" spans="1:19" x14ac:dyDescent="0.2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</row>
    <row r="598" spans="1:19" x14ac:dyDescent="0.2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</row>
    <row r="599" spans="1:19" x14ac:dyDescent="0.2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</row>
    <row r="600" spans="1:19" x14ac:dyDescent="0.2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</row>
    <row r="601" spans="1:19" x14ac:dyDescent="0.2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</row>
    <row r="602" spans="1:19" x14ac:dyDescent="0.2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</row>
    <row r="603" spans="1:19" x14ac:dyDescent="0.2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</row>
    <row r="604" spans="1:19" x14ac:dyDescent="0.2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</row>
    <row r="605" spans="1:19" x14ac:dyDescent="0.2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</row>
    <row r="606" spans="1:19" x14ac:dyDescent="0.2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</row>
    <row r="607" spans="1:19" x14ac:dyDescent="0.2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</row>
    <row r="608" spans="1:19" x14ac:dyDescent="0.2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</row>
    <row r="609" spans="1:19" x14ac:dyDescent="0.2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</row>
    <row r="610" spans="1:19" x14ac:dyDescent="0.2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</row>
    <row r="611" spans="1:19" x14ac:dyDescent="0.2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</row>
    <row r="612" spans="1:19" x14ac:dyDescent="0.2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</row>
    <row r="613" spans="1:19" x14ac:dyDescent="0.2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</row>
    <row r="614" spans="1:19" x14ac:dyDescent="0.2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</row>
    <row r="615" spans="1:19" x14ac:dyDescent="0.2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</row>
    <row r="616" spans="1:19" x14ac:dyDescent="0.2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</row>
    <row r="617" spans="1:19" x14ac:dyDescent="0.2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</row>
    <row r="618" spans="1:19" x14ac:dyDescent="0.2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</row>
    <row r="619" spans="1:19" x14ac:dyDescent="0.2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</row>
  </sheetData>
  <mergeCells count="8">
    <mergeCell ref="K55:L55"/>
    <mergeCell ref="K56:L56"/>
    <mergeCell ref="A1:M1"/>
    <mergeCell ref="A2:M2"/>
    <mergeCell ref="A3:M3"/>
    <mergeCell ref="A4:B4"/>
    <mergeCell ref="C4:E4"/>
    <mergeCell ref="K4:M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7"/>
  <sheetViews>
    <sheetView tabSelected="1" topLeftCell="A13" workbookViewId="0">
      <selection activeCell="K30" sqref="K30"/>
    </sheetView>
  </sheetViews>
  <sheetFormatPr defaultRowHeight="15" x14ac:dyDescent="0.25"/>
  <cols>
    <col min="2" max="2" width="10.140625" bestFit="1" customWidth="1"/>
    <col min="3" max="3" width="21" bestFit="1" customWidth="1"/>
    <col min="4" max="4" width="16.140625" bestFit="1" customWidth="1"/>
  </cols>
  <sheetData>
    <row r="2" spans="1:6" x14ac:dyDescent="0.25">
      <c r="A2" t="s">
        <v>115</v>
      </c>
      <c r="B2" t="s">
        <v>116</v>
      </c>
      <c r="C2" t="s">
        <v>5</v>
      </c>
      <c r="D2" t="s">
        <v>117</v>
      </c>
      <c r="E2" t="s">
        <v>118</v>
      </c>
      <c r="F2" t="s">
        <v>119</v>
      </c>
    </row>
    <row r="3" spans="1:6" ht="15.75" x14ac:dyDescent="0.25">
      <c r="A3">
        <v>1</v>
      </c>
      <c r="B3" s="29">
        <v>21033072</v>
      </c>
      <c r="C3" s="30" t="s">
        <v>54</v>
      </c>
    </row>
    <row r="4" spans="1:6" ht="15.75" x14ac:dyDescent="0.25">
      <c r="A4">
        <v>2</v>
      </c>
      <c r="B4" s="29">
        <v>21033073</v>
      </c>
      <c r="C4" s="30" t="s">
        <v>55</v>
      </c>
    </row>
    <row r="5" spans="1:6" ht="15.75" x14ac:dyDescent="0.25">
      <c r="A5">
        <v>3</v>
      </c>
      <c r="B5" s="29">
        <v>21033074</v>
      </c>
      <c r="C5" s="30" t="s">
        <v>56</v>
      </c>
    </row>
    <row r="6" spans="1:6" ht="15.75" x14ac:dyDescent="0.25">
      <c r="A6">
        <v>4</v>
      </c>
      <c r="B6" s="29">
        <v>21033076</v>
      </c>
      <c r="C6" s="30" t="s">
        <v>57</v>
      </c>
    </row>
    <row r="7" spans="1:6" ht="15.75" x14ac:dyDescent="0.25">
      <c r="A7">
        <v>5</v>
      </c>
      <c r="B7" s="29">
        <v>21033079</v>
      </c>
      <c r="C7" s="30" t="s">
        <v>58</v>
      </c>
    </row>
    <row r="8" spans="1:6" ht="15.75" x14ac:dyDescent="0.25">
      <c r="A8">
        <v>6</v>
      </c>
      <c r="B8" s="29">
        <v>21033083</v>
      </c>
      <c r="C8" s="30" t="s">
        <v>59</v>
      </c>
    </row>
    <row r="9" spans="1:6" ht="15.75" x14ac:dyDescent="0.25">
      <c r="A9">
        <v>7</v>
      </c>
      <c r="B9" s="29">
        <v>21033085</v>
      </c>
      <c r="C9" s="30" t="s">
        <v>60</v>
      </c>
    </row>
    <row r="10" spans="1:6" ht="15.75" x14ac:dyDescent="0.25">
      <c r="A10">
        <v>8</v>
      </c>
      <c r="B10" s="29">
        <v>21033086</v>
      </c>
      <c r="C10" s="30" t="s">
        <v>61</v>
      </c>
    </row>
    <row r="11" spans="1:6" ht="15.75" x14ac:dyDescent="0.25">
      <c r="A11">
        <v>9</v>
      </c>
      <c r="B11" s="29">
        <v>21033088</v>
      </c>
      <c r="C11" s="30" t="s">
        <v>62</v>
      </c>
    </row>
    <row r="12" spans="1:6" ht="15.75" x14ac:dyDescent="0.25">
      <c r="A12">
        <v>10</v>
      </c>
      <c r="B12" s="29">
        <v>21033090</v>
      </c>
      <c r="C12" s="30" t="s">
        <v>63</v>
      </c>
    </row>
    <row r="13" spans="1:6" ht="15.75" x14ac:dyDescent="0.25">
      <c r="A13">
        <v>11</v>
      </c>
      <c r="B13" s="29">
        <v>21033094</v>
      </c>
      <c r="C13" s="30" t="s">
        <v>64</v>
      </c>
    </row>
    <row r="14" spans="1:6" ht="15.75" x14ac:dyDescent="0.25">
      <c r="A14">
        <v>12</v>
      </c>
      <c r="B14" s="29">
        <v>21033096</v>
      </c>
      <c r="C14" s="30" t="s">
        <v>65</v>
      </c>
    </row>
    <row r="15" spans="1:6" ht="15.75" x14ac:dyDescent="0.25">
      <c r="A15">
        <v>13</v>
      </c>
      <c r="B15" s="29">
        <v>21033105</v>
      </c>
      <c r="C15" s="30" t="s">
        <v>66</v>
      </c>
    </row>
    <row r="16" spans="1:6" ht="15.75" x14ac:dyDescent="0.25">
      <c r="A16">
        <v>14</v>
      </c>
      <c r="B16" s="29">
        <v>21033106</v>
      </c>
      <c r="C16" s="30" t="s">
        <v>67</v>
      </c>
    </row>
    <row r="17" spans="1:3" ht="15.75" x14ac:dyDescent="0.25">
      <c r="A17">
        <v>15</v>
      </c>
      <c r="B17" s="29">
        <v>21033109</v>
      </c>
      <c r="C17" s="30" t="s">
        <v>68</v>
      </c>
    </row>
    <row r="18" spans="1:3" ht="15.75" x14ac:dyDescent="0.25">
      <c r="A18">
        <v>16</v>
      </c>
      <c r="B18" s="29">
        <v>21033112</v>
      </c>
      <c r="C18" s="30" t="s">
        <v>69</v>
      </c>
    </row>
    <row r="19" spans="1:3" ht="15.75" x14ac:dyDescent="0.25">
      <c r="A19">
        <v>17</v>
      </c>
      <c r="B19" s="29">
        <v>21033115</v>
      </c>
      <c r="C19" s="30" t="s">
        <v>70</v>
      </c>
    </row>
    <row r="20" spans="1:3" ht="15.75" x14ac:dyDescent="0.25">
      <c r="A20">
        <v>18</v>
      </c>
      <c r="B20" s="29">
        <v>21033122</v>
      </c>
      <c r="C20" s="30" t="s">
        <v>71</v>
      </c>
    </row>
    <row r="21" spans="1:3" ht="15.75" x14ac:dyDescent="0.25">
      <c r="A21">
        <v>19</v>
      </c>
      <c r="B21" s="29">
        <v>21033128</v>
      </c>
      <c r="C21" s="30" t="s">
        <v>72</v>
      </c>
    </row>
    <row r="22" spans="1:3" ht="15.75" x14ac:dyDescent="0.25">
      <c r="A22">
        <v>20</v>
      </c>
      <c r="B22" s="29">
        <v>21033130</v>
      </c>
      <c r="C22" s="30" t="s">
        <v>73</v>
      </c>
    </row>
    <row r="23" spans="1:3" ht="15.75" x14ac:dyDescent="0.25">
      <c r="A23">
        <v>21</v>
      </c>
      <c r="B23" s="29">
        <v>21033132</v>
      </c>
      <c r="C23" s="30" t="s">
        <v>74</v>
      </c>
    </row>
    <row r="24" spans="1:3" ht="15.75" x14ac:dyDescent="0.25">
      <c r="A24">
        <v>22</v>
      </c>
      <c r="B24" s="29">
        <v>21033133</v>
      </c>
      <c r="C24" s="30" t="s">
        <v>75</v>
      </c>
    </row>
    <row r="25" spans="1:3" ht="15.75" x14ac:dyDescent="0.25">
      <c r="A25">
        <v>23</v>
      </c>
      <c r="B25" s="29">
        <v>21033136</v>
      </c>
      <c r="C25" s="30" t="s">
        <v>76</v>
      </c>
    </row>
    <row r="26" spans="1:3" ht="15.75" x14ac:dyDescent="0.25">
      <c r="A26">
        <v>24</v>
      </c>
      <c r="B26" s="29">
        <v>21033137</v>
      </c>
      <c r="C26" s="30" t="s">
        <v>77</v>
      </c>
    </row>
    <row r="27" spans="1:3" ht="15.75" x14ac:dyDescent="0.25">
      <c r="A27">
        <v>25</v>
      </c>
      <c r="B27" s="29">
        <v>21033138</v>
      </c>
      <c r="C27" s="30" t="s">
        <v>78</v>
      </c>
    </row>
    <row r="28" spans="1:3" ht="15.75" x14ac:dyDescent="0.25">
      <c r="A28">
        <v>26</v>
      </c>
      <c r="B28" s="29">
        <v>21033139</v>
      </c>
      <c r="C28" s="30" t="s">
        <v>79</v>
      </c>
    </row>
    <row r="29" spans="1:3" ht="15.75" x14ac:dyDescent="0.25">
      <c r="A29">
        <v>27</v>
      </c>
      <c r="B29" s="29">
        <v>21033140</v>
      </c>
      <c r="C29" s="30" t="s">
        <v>80</v>
      </c>
    </row>
    <row r="30" spans="1:3" ht="15.75" x14ac:dyDescent="0.25">
      <c r="A30">
        <v>28</v>
      </c>
      <c r="B30" s="29">
        <v>21033141</v>
      </c>
      <c r="C30" s="30" t="s">
        <v>81</v>
      </c>
    </row>
    <row r="31" spans="1:3" ht="15.75" x14ac:dyDescent="0.25">
      <c r="A31">
        <v>29</v>
      </c>
      <c r="B31" s="29">
        <v>21033142</v>
      </c>
      <c r="C31" s="30" t="s">
        <v>82</v>
      </c>
    </row>
    <row r="32" spans="1:3" ht="15.75" x14ac:dyDescent="0.25">
      <c r="A32">
        <v>30</v>
      </c>
      <c r="B32" s="29">
        <v>21033143</v>
      </c>
      <c r="C32" s="30" t="s">
        <v>83</v>
      </c>
    </row>
    <row r="33" spans="1:3" ht="15.75" x14ac:dyDescent="0.25">
      <c r="A33">
        <v>31</v>
      </c>
      <c r="B33" s="29">
        <v>21033145</v>
      </c>
      <c r="C33" s="30" t="s">
        <v>84</v>
      </c>
    </row>
    <row r="34" spans="1:3" ht="15.75" x14ac:dyDescent="0.25">
      <c r="A34">
        <v>32</v>
      </c>
      <c r="B34" s="29">
        <v>21033146</v>
      </c>
      <c r="C34" s="30" t="s">
        <v>85</v>
      </c>
    </row>
    <row r="35" spans="1:3" ht="15.75" x14ac:dyDescent="0.25">
      <c r="A35">
        <v>33</v>
      </c>
      <c r="B35" s="29">
        <v>21033147</v>
      </c>
      <c r="C35" s="30" t="s">
        <v>86</v>
      </c>
    </row>
    <row r="36" spans="1:3" ht="15.75" x14ac:dyDescent="0.25">
      <c r="A36">
        <v>34</v>
      </c>
      <c r="B36" s="29">
        <v>21033149</v>
      </c>
      <c r="C36" s="30" t="s">
        <v>87</v>
      </c>
    </row>
    <row r="37" spans="1:3" ht="15.75" x14ac:dyDescent="0.25">
      <c r="A37">
        <v>35</v>
      </c>
      <c r="B37" s="29">
        <v>21033150</v>
      </c>
      <c r="C37" s="30" t="s">
        <v>88</v>
      </c>
    </row>
    <row r="38" spans="1:3" ht="15.75" x14ac:dyDescent="0.25">
      <c r="A38">
        <v>36</v>
      </c>
      <c r="B38" s="29">
        <v>21033151</v>
      </c>
      <c r="C38" s="30" t="s">
        <v>89</v>
      </c>
    </row>
    <row r="39" spans="1:3" ht="15.75" x14ac:dyDescent="0.25">
      <c r="A39">
        <v>37</v>
      </c>
      <c r="B39" s="29">
        <v>21033152</v>
      </c>
      <c r="C39" s="30" t="s">
        <v>90</v>
      </c>
    </row>
    <row r="40" spans="1:3" ht="15.75" x14ac:dyDescent="0.25">
      <c r="A40">
        <v>38</v>
      </c>
      <c r="B40" s="29">
        <v>21033153</v>
      </c>
      <c r="C40" s="30" t="s">
        <v>91</v>
      </c>
    </row>
    <row r="41" spans="1:3" ht="15.75" x14ac:dyDescent="0.25">
      <c r="A41">
        <v>39</v>
      </c>
      <c r="B41" s="29">
        <v>21033154</v>
      </c>
      <c r="C41" s="30" t="s">
        <v>92</v>
      </c>
    </row>
    <row r="42" spans="1:3" ht="15.75" x14ac:dyDescent="0.25">
      <c r="A42">
        <v>40</v>
      </c>
      <c r="B42" s="29">
        <v>21033155</v>
      </c>
      <c r="C42" s="30" t="s">
        <v>93</v>
      </c>
    </row>
    <row r="43" spans="1:3" ht="15.75" x14ac:dyDescent="0.25">
      <c r="A43">
        <v>41</v>
      </c>
      <c r="B43" s="29">
        <v>21033091</v>
      </c>
      <c r="C43" s="35" t="s">
        <v>94</v>
      </c>
    </row>
    <row r="44" spans="1:3" ht="15.75" x14ac:dyDescent="0.25">
      <c r="A44">
        <v>42</v>
      </c>
      <c r="B44" s="29">
        <v>21033157</v>
      </c>
      <c r="C44" s="35" t="s">
        <v>95</v>
      </c>
    </row>
    <row r="45" spans="1:3" ht="15.75" x14ac:dyDescent="0.25">
      <c r="A45">
        <v>43</v>
      </c>
      <c r="B45" s="29">
        <v>21033116</v>
      </c>
      <c r="C45" s="35" t="s">
        <v>96</v>
      </c>
    </row>
    <row r="46" spans="1:3" ht="15.75" x14ac:dyDescent="0.25">
      <c r="A46">
        <v>44</v>
      </c>
      <c r="B46" s="29">
        <v>21033144</v>
      </c>
      <c r="C46" s="35" t="s">
        <v>97</v>
      </c>
    </row>
    <row r="47" spans="1:3" ht="15.75" x14ac:dyDescent="0.25">
      <c r="A47">
        <v>45</v>
      </c>
      <c r="B47" s="29">
        <v>21033108</v>
      </c>
      <c r="C47" s="35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Business </vt:lpstr>
      <vt:lpstr>Bank Operations Management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2025-04-09T01:53:46Z</dcterms:modified>
</cp:coreProperties>
</file>