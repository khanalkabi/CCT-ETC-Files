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\Desktop\"/>
    </mc:Choice>
  </mc:AlternateContent>
  <bookViews>
    <workbookView xWindow="0" yWindow="0" windowWidth="9810" windowHeight="3660" activeTab="10"/>
  </bookViews>
  <sheets>
    <sheet name="BCSIT III " sheetId="1" r:id="rId1"/>
    <sheet name="BCSIT V " sheetId="2" r:id="rId2"/>
    <sheet name="BCIS VII " sheetId="3" r:id="rId3"/>
    <sheet name="BCIS VIII" sheetId="4" r:id="rId4"/>
    <sheet name="BCSIT I " sheetId="5" r:id="rId5"/>
    <sheet name="BCA I " sheetId="6" r:id="rId6"/>
    <sheet name="BCA III " sheetId="7" r:id="rId7"/>
    <sheet name="BCA V " sheetId="8" r:id="rId8"/>
    <sheet name="BCA VII " sheetId="9" r:id="rId9"/>
    <sheet name="BCA VIII " sheetId="10" r:id="rId10"/>
    <sheet name="BBA I " sheetId="11" r:id="rId11"/>
    <sheet name="BBA III " sheetId="12" r:id="rId12"/>
    <sheet name="BBA V " sheetId="13" r:id="rId13"/>
    <sheet name="BBA VII " sheetId="14" r:id="rId14"/>
    <sheet name="BBA VIII " sheetId="15" r:id="rId15"/>
  </sheets>
  <calcPr calcId="162913"/>
</workbook>
</file>

<file path=xl/calcChain.xml><?xml version="1.0" encoding="utf-8"?>
<calcChain xmlns="http://schemas.openxmlformats.org/spreadsheetml/2006/main">
  <c r="G40" i="2" l="1"/>
  <c r="G39" i="2"/>
  <c r="G38" i="2"/>
  <c r="G37" i="2"/>
  <c r="G36" i="2"/>
  <c r="G35" i="2"/>
  <c r="G34" i="2"/>
  <c r="G33" i="2"/>
  <c r="G32" i="2"/>
  <c r="G31" i="2" s="1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5" i="12" s="1"/>
  <c r="H17" i="12"/>
  <c r="H16" i="12"/>
  <c r="H14" i="12"/>
  <c r="H13" i="12"/>
  <c r="H12" i="12"/>
  <c r="H11" i="12"/>
  <c r="H10" i="12"/>
  <c r="H9" i="12"/>
  <c r="H8" i="12"/>
  <c r="H7" i="12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2" i="10"/>
  <c r="G11" i="10"/>
  <c r="G10" i="10"/>
  <c r="G9" i="10"/>
  <c r="G8" i="10"/>
  <c r="G7" i="10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49" i="8"/>
  <c r="G48" i="8"/>
  <c r="G47" i="8"/>
  <c r="G46" i="8"/>
  <c r="G45" i="8"/>
  <c r="G44" i="8"/>
  <c r="G43" i="8"/>
  <c r="G42" i="8"/>
  <c r="E41" i="8"/>
  <c r="G41" i="8" s="1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<sst xmlns="http://schemas.openxmlformats.org/spreadsheetml/2006/main" count="837" uniqueCount="608">
  <si>
    <t xml:space="preserve">Crimson College of Technol0g </t>
  </si>
  <si>
    <t xml:space="preserve">S. N </t>
  </si>
  <si>
    <t xml:space="preserve">Students Name </t>
  </si>
  <si>
    <t xml:space="preserve">Total Present Days </t>
  </si>
  <si>
    <t xml:space="preserve">Total present Days </t>
  </si>
  <si>
    <t xml:space="preserve">Total Working   Days (17) </t>
  </si>
  <si>
    <t xml:space="preserve">Total working Days(77) </t>
  </si>
  <si>
    <t xml:space="preserve">Kartik </t>
  </si>
  <si>
    <t xml:space="preserve">Mangsir </t>
  </si>
  <si>
    <t xml:space="preserve">Poush </t>
  </si>
  <si>
    <t xml:space="preserve">Magh </t>
  </si>
  <si>
    <t>Aadhitee Agrahari</t>
  </si>
  <si>
    <t>Abinash Acharya</t>
  </si>
  <si>
    <t>Abinash Chaudhary Tharu</t>
  </si>
  <si>
    <t>Alisha Singh K.C.</t>
  </si>
  <si>
    <t>Anish adhikari(PU)</t>
  </si>
  <si>
    <t>Anish Sharma</t>
  </si>
  <si>
    <t>Anmol Gaire</t>
  </si>
  <si>
    <t xml:space="preserve">Ashish khanal </t>
  </si>
  <si>
    <t xml:space="preserve">Asmita Subedi </t>
  </si>
  <si>
    <t>Ayush gupta Baniya</t>
  </si>
  <si>
    <t>Bigyan Karki</t>
  </si>
  <si>
    <t xml:space="preserve">Bihani Dhungana </t>
  </si>
  <si>
    <t>Bijaya Basyal</t>
  </si>
  <si>
    <t>Birendra Basnet</t>
  </si>
  <si>
    <t>Bramha Prasad Tharu</t>
  </si>
  <si>
    <t>Gaurab Lamichhane</t>
  </si>
  <si>
    <t>Jhabindra GC</t>
  </si>
  <si>
    <t xml:space="preserve">Jhalak Singh Rana </t>
  </si>
  <si>
    <t xml:space="preserve">Kamana Koirala </t>
  </si>
  <si>
    <t>Kundan Shah Rauniyar</t>
  </si>
  <si>
    <t>Kusum Bhattrai</t>
  </si>
  <si>
    <t>Maliha Mikrani</t>
  </si>
  <si>
    <t>Milan Khanal Chhetri</t>
  </si>
  <si>
    <t>Mohammad Aashif Dhobi</t>
  </si>
  <si>
    <t>Nikit Kunwar(PU)</t>
  </si>
  <si>
    <t xml:space="preserve">Niraj Tanden </t>
  </si>
  <si>
    <t>Nirwon Singh Bura</t>
  </si>
  <si>
    <t>Pradeep Kunwar</t>
  </si>
  <si>
    <t>Prakriti Bashyal</t>
  </si>
  <si>
    <t>Pramish Subedi(PU)</t>
  </si>
  <si>
    <t>Pratikshya Chhetri(PU)</t>
  </si>
  <si>
    <t>Ritika Chhetri</t>
  </si>
  <si>
    <t>Riya Khatri</t>
  </si>
  <si>
    <t>Rojan Shahi</t>
  </si>
  <si>
    <t>Sabina Khanal</t>
  </si>
  <si>
    <t>Sharwan Timilsina</t>
  </si>
  <si>
    <t>Smarika Sapkota</t>
  </si>
  <si>
    <t>Suraj Kunwar</t>
  </si>
  <si>
    <t>Vihaan Shrestha</t>
  </si>
  <si>
    <t xml:space="preserve">Juna Gautam </t>
  </si>
  <si>
    <t xml:space="preserve">Total Working Days(23) </t>
  </si>
  <si>
    <t>Total Workin Days(20)</t>
  </si>
  <si>
    <t xml:space="preserve">Sujan Thapa </t>
  </si>
  <si>
    <t>Total Working Days (17)</t>
  </si>
  <si>
    <t>Aadarsh Bhattarai</t>
  </si>
  <si>
    <t>Aishwarya Pandey</t>
  </si>
  <si>
    <t>Ajay Kunwar</t>
  </si>
  <si>
    <t>Arpit  Kattel</t>
  </si>
  <si>
    <t>Arun Bista</t>
  </si>
  <si>
    <t>Arun Sunar</t>
  </si>
  <si>
    <t>Bandana Sharma</t>
  </si>
  <si>
    <t>Barsha Nepali</t>
  </si>
  <si>
    <t>Bijan Adhikari</t>
  </si>
  <si>
    <t>Bindhya Shakya (PU)</t>
  </si>
  <si>
    <t>Bishnu Prasad Gupta</t>
  </si>
  <si>
    <t>Denish K.c.</t>
  </si>
  <si>
    <t>Durga Sharki</t>
  </si>
  <si>
    <t>Janaki Neupane</t>
  </si>
  <si>
    <t>Kripesh Karki</t>
  </si>
  <si>
    <t>Kritika Rana Khand</t>
  </si>
  <si>
    <t>Milam Saru Magar</t>
  </si>
  <si>
    <t>Mohammad Faheem Khan</t>
  </si>
  <si>
    <t>Nikit Lohani</t>
  </si>
  <si>
    <t>Niranjan Chaudhary</t>
  </si>
  <si>
    <t>Nishan Thapa</t>
  </si>
  <si>
    <t>Rajani Bhusal</t>
  </si>
  <si>
    <t>Ranjan Aryal</t>
  </si>
  <si>
    <t>Ranjeeta Belbase (PU)</t>
  </si>
  <si>
    <t>Sandesh Parajuli</t>
  </si>
  <si>
    <t xml:space="preserve">Sandipa Shrestha </t>
  </si>
  <si>
    <t>Siya Singh Kshetri</t>
  </si>
  <si>
    <t>Smit Paudel (PU)</t>
  </si>
  <si>
    <t>Sulochan Karki</t>
  </si>
  <si>
    <t>Suraj Kumar Shrestha (PU)</t>
  </si>
  <si>
    <t>Surakshya Nepali (PU)</t>
  </si>
  <si>
    <t>Surya Psd Khanal</t>
  </si>
  <si>
    <t>Sushil Bhandari</t>
  </si>
  <si>
    <t>Tejendra Dharikar</t>
  </si>
  <si>
    <t>(BCSIT V) Total Attendance</t>
  </si>
  <si>
    <t>(BCSIT III) Total Attendance</t>
  </si>
  <si>
    <t>Anil Pandey</t>
  </si>
  <si>
    <t>Arjun Gyawali</t>
  </si>
  <si>
    <t>Ashish Kumar Chaudhary</t>
  </si>
  <si>
    <t>Bishal Shrestha</t>
  </si>
  <si>
    <t>Dev Narayan Tharu</t>
  </si>
  <si>
    <t>Harish Chandra Poudel</t>
  </si>
  <si>
    <t>Kushal Ghimire</t>
  </si>
  <si>
    <t>Pravesh Kumar Kurmi</t>
  </si>
  <si>
    <t>Rajim Chaudhary</t>
  </si>
  <si>
    <t>Sagar Lamsal</t>
  </si>
  <si>
    <t>Sandhya Bhandari</t>
  </si>
  <si>
    <t>Shankar Bhandari</t>
  </si>
  <si>
    <t>Shriyanka Shrestha</t>
  </si>
  <si>
    <t xml:space="preserve">Smit Aryal </t>
  </si>
  <si>
    <t>Upadesh Neupane</t>
  </si>
  <si>
    <t xml:space="preserve">Total Working Days(21) </t>
  </si>
  <si>
    <t>Total Workin Days(14)</t>
  </si>
  <si>
    <t xml:space="preserve">Total working Days(69) </t>
  </si>
  <si>
    <t>(BCIS VII) Total Attendance</t>
  </si>
  <si>
    <t xml:space="preserve">Milan Tharu </t>
  </si>
  <si>
    <t xml:space="preserve">Total Working Days(22) </t>
  </si>
  <si>
    <t xml:space="preserve">Total Working   Days (11) </t>
  </si>
  <si>
    <t>Total Workin Days(23 )</t>
  </si>
  <si>
    <t xml:space="preserve">Amit Poudel </t>
  </si>
  <si>
    <t>Total Working Days (20)</t>
  </si>
  <si>
    <t>(BCIS VIII) Total Attendance</t>
  </si>
  <si>
    <t>Aftab Alam</t>
  </si>
  <si>
    <t>Garima Chaudhary</t>
  </si>
  <si>
    <t>Gautam Dumre</t>
  </si>
  <si>
    <t>Indira Neupane</t>
  </si>
  <si>
    <t>Kritagya Thapa Magar</t>
  </si>
  <si>
    <t>Laxman Ghimire</t>
  </si>
  <si>
    <t>Menuka Karki</t>
  </si>
  <si>
    <t>Mona Bhandari</t>
  </si>
  <si>
    <t>Parbin Tharu Chaudhary</t>
  </si>
  <si>
    <t>Rajina Kumari Ray Tharu</t>
  </si>
  <si>
    <t>Samarajya Man Bhari</t>
  </si>
  <si>
    <t>Sandip Khati B. K</t>
  </si>
  <si>
    <t>Sukdev Kathariya Tharu</t>
  </si>
  <si>
    <t>Suman Tachamo</t>
  </si>
  <si>
    <t>Suraj Gurung</t>
  </si>
  <si>
    <t xml:space="preserve">Sushant Rana </t>
  </si>
  <si>
    <t>Total Workin Days(16)</t>
  </si>
  <si>
    <t xml:space="preserve">Crimson College of Technology </t>
  </si>
  <si>
    <t xml:space="preserve">Butwal-11, Devinagar </t>
  </si>
  <si>
    <t xml:space="preserve">BCSIT I Total Attendance </t>
  </si>
  <si>
    <t xml:space="preserve">Total working Days(76) </t>
  </si>
  <si>
    <t xml:space="preserve">Aahana Sakya </t>
  </si>
  <si>
    <t xml:space="preserve">Abhisekh Luitel Sharma </t>
  </si>
  <si>
    <t xml:space="preserve">Ajay Thapa </t>
  </si>
  <si>
    <t xml:space="preserve">Alok Thapa </t>
  </si>
  <si>
    <t xml:space="preserve">Amrit Thapa </t>
  </si>
  <si>
    <t xml:space="preserve">Anik Rana Magar </t>
  </si>
  <si>
    <t xml:space="preserve">Anjeela Gaha Magar </t>
  </si>
  <si>
    <t xml:space="preserve">Ansila Thapa </t>
  </si>
  <si>
    <t>Anuska Gautam</t>
  </si>
  <si>
    <t xml:space="preserve">Ayush Pandey (PU) </t>
  </si>
  <si>
    <t>Bandhana Bitalu</t>
  </si>
  <si>
    <t xml:space="preserve">Bidur Pandey </t>
  </si>
  <si>
    <t xml:space="preserve">Bishal Chhatri </t>
  </si>
  <si>
    <t xml:space="preserve">Chirag Pachhai </t>
  </si>
  <si>
    <t xml:space="preserve">Deeplove Rana  </t>
  </si>
  <si>
    <t xml:space="preserve">Dewa Chaudhary </t>
  </si>
  <si>
    <t xml:space="preserve">Dipson Chapagain </t>
  </si>
  <si>
    <t xml:space="preserve">Hridaya Man Bajrachya </t>
  </si>
  <si>
    <t xml:space="preserve">Kamal Shrestha </t>
  </si>
  <si>
    <t>Krishna Bashyal (PU)</t>
  </si>
  <si>
    <t xml:space="preserve">Krishna Bhusal </t>
  </si>
  <si>
    <t xml:space="preserve">Kritan Neupane </t>
  </si>
  <si>
    <t>Kushal Kshetri</t>
  </si>
  <si>
    <t xml:space="preserve">Kushal Singh Gautam </t>
  </si>
  <si>
    <t xml:space="preserve">Leena Gurung </t>
  </si>
  <si>
    <t xml:space="preserve">Nairityaa Gurung </t>
  </si>
  <si>
    <t xml:space="preserve">Pinki Gupta </t>
  </si>
  <si>
    <t xml:space="preserve">Prabesh Khanal </t>
  </si>
  <si>
    <t xml:space="preserve">Puja Wosti </t>
  </si>
  <si>
    <t xml:space="preserve">Purnima Chaudhary </t>
  </si>
  <si>
    <t xml:space="preserve">Rijan Acharya </t>
  </si>
  <si>
    <t>Rijan Rana (PU)</t>
  </si>
  <si>
    <t xml:space="preserve">RIJU Sen </t>
  </si>
  <si>
    <t>Rojma Shahi</t>
  </si>
  <si>
    <t>Sabina Banjade (PU)</t>
  </si>
  <si>
    <t xml:space="preserve">Sabina Bhattarai </t>
  </si>
  <si>
    <t xml:space="preserve">Sachin Shrestha </t>
  </si>
  <si>
    <t xml:space="preserve">Samita Thapa </t>
  </si>
  <si>
    <t xml:space="preserve">Sanket Bhattarai (CR) </t>
  </si>
  <si>
    <t>Sashant Gyawali (PU)</t>
  </si>
  <si>
    <t xml:space="preserve">Simran Pandey </t>
  </si>
  <si>
    <t xml:space="preserve">Sishir Chaudhary </t>
  </si>
  <si>
    <t xml:space="preserve">Sristi Pangeni </t>
  </si>
  <si>
    <t xml:space="preserve">Subikshya G.C </t>
  </si>
  <si>
    <t xml:space="preserve">Susan Thapa </t>
  </si>
  <si>
    <t xml:space="preserve">Sweta Neupane </t>
  </si>
  <si>
    <t xml:space="preserve">Youbraj Thapa </t>
  </si>
  <si>
    <t xml:space="preserve">Yubraj Sapkota </t>
  </si>
  <si>
    <t xml:space="preserve">BCA I Total Attendance </t>
  </si>
  <si>
    <t>Total Workin Days(21)</t>
  </si>
  <si>
    <t xml:space="preserve">Aakash Thapa Magar </t>
  </si>
  <si>
    <t xml:space="preserve">Aanand Gautam </t>
  </si>
  <si>
    <t xml:space="preserve">Aarati Pokhrel </t>
  </si>
  <si>
    <t xml:space="preserve">Aditya Rana </t>
  </si>
  <si>
    <t xml:space="preserve">Amit Baniya </t>
  </si>
  <si>
    <t xml:space="preserve">Arijesh Shrestha </t>
  </si>
  <si>
    <t xml:space="preserve">Ashal Subedi </t>
  </si>
  <si>
    <t>Bhawana Chaudhary</t>
  </si>
  <si>
    <t>Bindu Basnet</t>
  </si>
  <si>
    <t xml:space="preserve">Binita Gyawali </t>
  </si>
  <si>
    <t xml:space="preserve">Bipana K.C (PU) </t>
  </si>
  <si>
    <t xml:space="preserve">Bipin Shrestha (PU) </t>
  </si>
  <si>
    <t xml:space="preserve">Bipisha Thapa </t>
  </si>
  <si>
    <t xml:space="preserve">Chiranjibi Dhakal </t>
  </si>
  <si>
    <t>Dhakandra Chaudhary</t>
  </si>
  <si>
    <t>Dipesh Shrestha</t>
  </si>
  <si>
    <t xml:space="preserve">Garima Chapagain </t>
  </si>
  <si>
    <t xml:space="preserve">Ghanshyam Khadka </t>
  </si>
  <si>
    <t xml:space="preserve">Himal Pandey </t>
  </si>
  <si>
    <t xml:space="preserve">Janak Chaudhary </t>
  </si>
  <si>
    <t>Joshan lal Shakya</t>
  </si>
  <si>
    <t xml:space="preserve">Kopila Poudel </t>
  </si>
  <si>
    <t>Krishna Chaudhary Tharu</t>
  </si>
  <si>
    <t xml:space="preserve">Mohit Bhusal </t>
  </si>
  <si>
    <t xml:space="preserve">Narendra Sunar </t>
  </si>
  <si>
    <t xml:space="preserve">Ninjan Bhandari </t>
  </si>
  <si>
    <t>Paarul Gurung</t>
  </si>
  <si>
    <t xml:space="preserve">Padam Paudel </t>
  </si>
  <si>
    <t>Paras Balal</t>
  </si>
  <si>
    <t xml:space="preserve">Pawan Chaudhary </t>
  </si>
  <si>
    <t xml:space="preserve">Prachi Gewali </t>
  </si>
  <si>
    <t xml:space="preserve">Pradip Kumar Thada (PU) </t>
  </si>
  <si>
    <t xml:space="preserve">Ranjeet Rayamajhi </t>
  </si>
  <si>
    <t xml:space="preserve">Rikeet Tharu </t>
  </si>
  <si>
    <t xml:space="preserve">Rohit Kathariya Tharu </t>
  </si>
  <si>
    <t xml:space="preserve">Rojeena Bhusal (PU) </t>
  </si>
  <si>
    <t>Sagar Pokharel (PU)</t>
  </si>
  <si>
    <t xml:space="preserve">Sahil Rajali Thapa </t>
  </si>
  <si>
    <t xml:space="preserve">Samikshya Bashyal </t>
  </si>
  <si>
    <t xml:space="preserve">Samir Pokhrel </t>
  </si>
  <si>
    <t xml:space="preserve">Sandipa Dhakal </t>
  </si>
  <si>
    <t xml:space="preserve">Saugat Kafle </t>
  </si>
  <si>
    <t xml:space="preserve">Sishir Shrestha </t>
  </si>
  <si>
    <t xml:space="preserve">Sudan Shrestha </t>
  </si>
  <si>
    <t xml:space="preserve">Sujan Tandan </t>
  </si>
  <si>
    <t>Sulav Banjade (CR)</t>
  </si>
  <si>
    <t xml:space="preserve">Sushant Ruchal </t>
  </si>
  <si>
    <t xml:space="preserve">Tikaram Bhandari </t>
  </si>
  <si>
    <t>Aashma Rana</t>
  </si>
  <si>
    <t>Aayush Gaire</t>
  </si>
  <si>
    <t>Amish Chaudhary</t>
  </si>
  <si>
    <t>Anil Prasad Pandey</t>
  </si>
  <si>
    <t>Anjil Khanal</t>
  </si>
  <si>
    <t>Ankit Bhusal(PU)</t>
  </si>
  <si>
    <t>Arun Bhusal</t>
  </si>
  <si>
    <t>Bhupendra Thapa Magar</t>
  </si>
  <si>
    <t>Bishal Kunwar Magar</t>
  </si>
  <si>
    <t>Biswash Shahi</t>
  </si>
  <si>
    <t>Darpan Rijal</t>
  </si>
  <si>
    <t>Diya Karki</t>
  </si>
  <si>
    <t>Jeevan Kami(PU)</t>
  </si>
  <si>
    <t xml:space="preserve">kabita Gaire </t>
  </si>
  <si>
    <t>Kanchan Bhandari</t>
  </si>
  <si>
    <t xml:space="preserve">Karan Sarki </t>
  </si>
  <si>
    <t>Krish Gurung</t>
  </si>
  <si>
    <t xml:space="preserve">Mahesh Thapa </t>
  </si>
  <si>
    <t>mariyam Banu</t>
  </si>
  <si>
    <t>Nishant Chaudhary</t>
  </si>
  <si>
    <t>Nitesh Karki</t>
  </si>
  <si>
    <t>Prashant Neupane(PU)</t>
  </si>
  <si>
    <t>Prayush Poudel</t>
  </si>
  <si>
    <t>Prince Neupane</t>
  </si>
  <si>
    <t>Priyanka Chhetri(PU)</t>
  </si>
  <si>
    <t>Rahul Mahat Chhetri</t>
  </si>
  <si>
    <t>Rajesh Poudyal</t>
  </si>
  <si>
    <t>Roshan Pokhrel</t>
  </si>
  <si>
    <t xml:space="preserve">Samir Dhakal </t>
  </si>
  <si>
    <t>Saroj Sapkota</t>
  </si>
  <si>
    <t>saurav Raj pandey</t>
  </si>
  <si>
    <t>Shovit Banjade</t>
  </si>
  <si>
    <t>Sidhartha Sahi</t>
  </si>
  <si>
    <t>Subash Khatri Chhetri</t>
  </si>
  <si>
    <t xml:space="preserve">Success  Neupane </t>
  </si>
  <si>
    <t>Suprim Khatri</t>
  </si>
  <si>
    <t>Suraj Pandey(PU)</t>
  </si>
  <si>
    <t>surakshya Bhattarai</t>
  </si>
  <si>
    <t>Swastika Upadhaya</t>
  </si>
  <si>
    <t>Vishal Gurung</t>
  </si>
  <si>
    <t>Yogendra Thapa</t>
  </si>
  <si>
    <t xml:space="preserve">BCA III Total Attendance </t>
  </si>
  <si>
    <t>Alisha Chapagain</t>
  </si>
  <si>
    <t>Anup Chettri</t>
  </si>
  <si>
    <t>Anup Khanal</t>
  </si>
  <si>
    <t>Arpan Jaiswal</t>
  </si>
  <si>
    <t>Ayush Khanal</t>
  </si>
  <si>
    <t>Ankit Bashyal</t>
  </si>
  <si>
    <t>Durga Thapa</t>
  </si>
  <si>
    <t>Gokul Aryal</t>
  </si>
  <si>
    <t>Karan Rawal</t>
  </si>
  <si>
    <t>Koshika Sapkota KC</t>
  </si>
  <si>
    <t>Kritan Kafle</t>
  </si>
  <si>
    <t>Mukesh Bhandari</t>
  </si>
  <si>
    <t>Niraj Thapa</t>
  </si>
  <si>
    <t>Nisan Budhathoki</t>
  </si>
  <si>
    <t>Pawan Sapkota</t>
  </si>
  <si>
    <t>Pooja Shrestha</t>
  </si>
  <si>
    <t>Prabesh KC</t>
  </si>
  <si>
    <t>Prince Kharal</t>
  </si>
  <si>
    <t>Rajiv Thapa Chhetri</t>
  </si>
  <si>
    <t>Ramesh Poudel (PU)</t>
  </si>
  <si>
    <t>Ritika Pandey</t>
  </si>
  <si>
    <t>Riya Jaiswal</t>
  </si>
  <si>
    <t>Roshan Khadka (PU)</t>
  </si>
  <si>
    <t>Roshan Nepali</t>
  </si>
  <si>
    <t>Saaz Thapa</t>
  </si>
  <si>
    <t>Salina Manandhar</t>
  </si>
  <si>
    <t>Sandesh Aryal</t>
  </si>
  <si>
    <t>Sangam Bagale Regmi</t>
  </si>
  <si>
    <t>Sanskriti Upadhyay</t>
  </si>
  <si>
    <t>Saurav Bhattarai</t>
  </si>
  <si>
    <t>Shasanka Pokhrel</t>
  </si>
  <si>
    <t>Shishir Gnawali (PU)</t>
  </si>
  <si>
    <t>Sital Karki</t>
  </si>
  <si>
    <t>Smirti Dhakal</t>
  </si>
  <si>
    <t>Subekshya Sapkota</t>
  </si>
  <si>
    <t>Subham Koirala</t>
  </si>
  <si>
    <t>Sudip Marasini (PU)</t>
  </si>
  <si>
    <t>Sunil Kumar Tharu</t>
  </si>
  <si>
    <t>Swastika Sharma Bhusal</t>
  </si>
  <si>
    <t>Yogesh Suryabanshi</t>
  </si>
  <si>
    <t>Aakriti Neupane</t>
  </si>
  <si>
    <t>Abishekh Nepal</t>
  </si>
  <si>
    <t>Amit Bhusal</t>
  </si>
  <si>
    <t>Amit Kumar Kurmi</t>
  </si>
  <si>
    <t>Apikshya Shrestha</t>
  </si>
  <si>
    <t>Ashim Gautam</t>
  </si>
  <si>
    <t>Ashok Rimal</t>
  </si>
  <si>
    <t>Ayush Poudel</t>
  </si>
  <si>
    <t>Bishal Sharma Parajuli</t>
  </si>
  <si>
    <t>Bishwash Rijal</t>
  </si>
  <si>
    <t>Deepak Pokhrel</t>
  </si>
  <si>
    <t>Ganesh Khatri</t>
  </si>
  <si>
    <t>Gurleen Kaur</t>
  </si>
  <si>
    <t>Kamana  BK</t>
  </si>
  <si>
    <t>Kiran Aryal</t>
  </si>
  <si>
    <t>Kushal Shrestha</t>
  </si>
  <si>
    <t>Kushal Thapa</t>
  </si>
  <si>
    <t>Madan Bhandari</t>
  </si>
  <si>
    <t>Mausami Khatri</t>
  </si>
  <si>
    <t>Nabin Pun</t>
  </si>
  <si>
    <t>Nishan Bhandari</t>
  </si>
  <si>
    <t>Nishant Bhattarai</t>
  </si>
  <si>
    <t xml:space="preserve">Paras Shrestha </t>
  </si>
  <si>
    <t>Prakash Pariyar</t>
  </si>
  <si>
    <t>Prekshya Sapkota</t>
  </si>
  <si>
    <t>Punam Rana</t>
  </si>
  <si>
    <t>Pyarjan Thapa</t>
  </si>
  <si>
    <t>Rajan Gaire</t>
  </si>
  <si>
    <t>Rohit Khanal</t>
  </si>
  <si>
    <t>Rohit Shrestha</t>
  </si>
  <si>
    <t>Roshan Shah</t>
  </si>
  <si>
    <t>Sabin Pokhrel</t>
  </si>
  <si>
    <t>Sagar Goud</t>
  </si>
  <si>
    <t>Shishir Pandey</t>
  </si>
  <si>
    <t>Shushil Bhusal</t>
  </si>
  <si>
    <t>Sujal Gaha Magar</t>
  </si>
  <si>
    <t>Sujan Pokhrel</t>
  </si>
  <si>
    <t>Suman Saru</t>
  </si>
  <si>
    <t>Susan  Shakya</t>
  </si>
  <si>
    <t>Tikaram Baijali</t>
  </si>
  <si>
    <t>Trithaman Hamal</t>
  </si>
  <si>
    <t xml:space="preserve">BCA VII Total Attendance </t>
  </si>
  <si>
    <t>Aashish Khanal</t>
  </si>
  <si>
    <t>Aashish oli Chhetri</t>
  </si>
  <si>
    <t>Abhishek Pandey</t>
  </si>
  <si>
    <t>Alisha Shrestha</t>
  </si>
  <si>
    <t>Ammar Bahadur Kunwar</t>
  </si>
  <si>
    <t>Amrit Shrestha</t>
  </si>
  <si>
    <t>Arthik Bashyal</t>
  </si>
  <si>
    <t>Babu Ram Pandey</t>
  </si>
  <si>
    <t>Bini Shakya</t>
  </si>
  <si>
    <t>Binita Shrestha</t>
  </si>
  <si>
    <t>Debika Thapa</t>
  </si>
  <si>
    <t>Dhan Raj Gurung</t>
  </si>
  <si>
    <t>Durga Pandey</t>
  </si>
  <si>
    <t>Jay godar</t>
  </si>
  <si>
    <t>Kabita Khatri</t>
  </si>
  <si>
    <t>Keshab Chidi</t>
  </si>
  <si>
    <t>Krishna Prasad Bashyal</t>
  </si>
  <si>
    <t>Nabin Chaudhary</t>
  </si>
  <si>
    <t>Prashant Adhikari</t>
  </si>
  <si>
    <t>Pratik Thaiba</t>
  </si>
  <si>
    <t>Pratistha Chhetri</t>
  </si>
  <si>
    <t>Rabin B.K</t>
  </si>
  <si>
    <t>Roshani Joshi</t>
  </si>
  <si>
    <t>Sabind Aryal</t>
  </si>
  <si>
    <t>Sagar Panthi</t>
  </si>
  <si>
    <t>Samikshya Pandey</t>
  </si>
  <si>
    <t>Shovakanta Neupane</t>
  </si>
  <si>
    <t>Sudip Rana</t>
  </si>
  <si>
    <t>Sujan Kharel</t>
  </si>
  <si>
    <t>Sushil Marasini</t>
  </si>
  <si>
    <t>Yaniska Paudel</t>
  </si>
  <si>
    <t>Yubiska Paudel</t>
  </si>
  <si>
    <t xml:space="preserve">Deepanshu Shrestha </t>
  </si>
  <si>
    <t>Arjun Poudal</t>
  </si>
  <si>
    <t xml:space="preserve">Anish Thapa </t>
  </si>
  <si>
    <t xml:space="preserve">Niranjan Pandey </t>
  </si>
  <si>
    <t>Total Workin Days(17)</t>
  </si>
  <si>
    <t xml:space="preserve">Total Working   Days (16) </t>
  </si>
  <si>
    <t>Total Working Days (21)</t>
  </si>
  <si>
    <t xml:space="preserve">Total Working   Days (14) </t>
  </si>
  <si>
    <t xml:space="preserve">Aagya Gyawali </t>
  </si>
  <si>
    <t xml:space="preserve">Aliza Chapagain </t>
  </si>
  <si>
    <t>Amuna Bohara (PU)</t>
  </si>
  <si>
    <t xml:space="preserve">Arman Shrestha </t>
  </si>
  <si>
    <t>Bhumika Bhat chhetri (PU)</t>
  </si>
  <si>
    <t xml:space="preserve">Binita Dhakal </t>
  </si>
  <si>
    <t>Binita Pandey (PU)</t>
  </si>
  <si>
    <t xml:space="preserve">Bishal Kurmi </t>
  </si>
  <si>
    <t>Bishnu Thapa (PU)</t>
  </si>
  <si>
    <t xml:space="preserve">David Kapali </t>
  </si>
  <si>
    <t xml:space="preserve">Denisha Thapa </t>
  </si>
  <si>
    <t xml:space="preserve">Divya Barnwar </t>
  </si>
  <si>
    <t xml:space="preserve">Gautam Yadav </t>
  </si>
  <si>
    <t>Ishika Yadav</t>
  </si>
  <si>
    <t xml:space="preserve">Jayanti Dhungana </t>
  </si>
  <si>
    <t>Krishma Karki</t>
  </si>
  <si>
    <t xml:space="preserve">Krishna Bahadur Thapa (PU) </t>
  </si>
  <si>
    <t xml:space="preserve">Kritika Shrestha </t>
  </si>
  <si>
    <t xml:space="preserve">Kushma Bote </t>
  </si>
  <si>
    <t>Mamata Shrestha (PU)</t>
  </si>
  <si>
    <t xml:space="preserve">Manoj Paudel </t>
  </si>
  <si>
    <t xml:space="preserve">Nhurjhuma Gurung </t>
  </si>
  <si>
    <t xml:space="preserve">Paru Atreya </t>
  </si>
  <si>
    <t>Prabesh Bhandari (PU)</t>
  </si>
  <si>
    <t xml:space="preserve">Prashant Ghimire </t>
  </si>
  <si>
    <t xml:space="preserve">Pratikshya Neupane </t>
  </si>
  <si>
    <t xml:space="preserve">Prinsha Kunwar </t>
  </si>
  <si>
    <t xml:space="preserve">Priyanka Acharya (PU) </t>
  </si>
  <si>
    <t xml:space="preserve">Rajani Kandel </t>
  </si>
  <si>
    <t>Rama Rayamajhi</t>
  </si>
  <si>
    <t xml:space="preserve">Rasmi Parajuli </t>
  </si>
  <si>
    <t xml:space="preserve">Rekha Bhandari </t>
  </si>
  <si>
    <t>Sachin Bashyal (PU)</t>
  </si>
  <si>
    <t>Sahid Miya</t>
  </si>
  <si>
    <t xml:space="preserve">Samana Dhakal </t>
  </si>
  <si>
    <t xml:space="preserve">Samikshya Bhattarai </t>
  </si>
  <si>
    <t xml:space="preserve">Sandesh Adhikari (PU) </t>
  </si>
  <si>
    <t xml:space="preserve">Sandesh Pantha </t>
  </si>
  <si>
    <t xml:space="preserve">Sandesh Puri </t>
  </si>
  <si>
    <t xml:space="preserve">Sandesh Sharma </t>
  </si>
  <si>
    <t xml:space="preserve">Saugat Chhetri </t>
  </si>
  <si>
    <t xml:space="preserve">Sujain Chaudhary </t>
  </si>
  <si>
    <t xml:space="preserve">Surakshya Bhattarai </t>
  </si>
  <si>
    <t xml:space="preserve">Surendra Yadav </t>
  </si>
  <si>
    <t xml:space="preserve">Swekshya Chaudhary </t>
  </si>
  <si>
    <t xml:space="preserve">Ukesh Gahatraj </t>
  </si>
  <si>
    <t xml:space="preserve">Usha Karki </t>
  </si>
  <si>
    <t>Total Working Days (15)</t>
  </si>
  <si>
    <t>Total Workin Days(22)</t>
  </si>
  <si>
    <t xml:space="preserve">BBA I Total Attendance </t>
  </si>
  <si>
    <t xml:space="preserve">BCA VIII Total Attendance </t>
  </si>
  <si>
    <t xml:space="preserve">BCA V </t>
  </si>
  <si>
    <t xml:space="preserve">BBA III Total Attendance </t>
  </si>
  <si>
    <t>Aarati Neupane</t>
  </si>
  <si>
    <t>Abisha Saru</t>
  </si>
  <si>
    <t>Abhishak Pandey(PU)</t>
  </si>
  <si>
    <t>Alisha Sunar</t>
  </si>
  <si>
    <t>Anjana Baraghare</t>
  </si>
  <si>
    <t>Anjil Pantha</t>
  </si>
  <si>
    <t xml:space="preserve">Anshika Gupta </t>
  </si>
  <si>
    <t>Asmita Chaudhary</t>
  </si>
  <si>
    <t>Astha Thapa</t>
  </si>
  <si>
    <t>Babita Karki</t>
  </si>
  <si>
    <t>Bhawana Pangeni</t>
  </si>
  <si>
    <t>Bidhya Subedi</t>
  </si>
  <si>
    <t>Binod Bakabal</t>
  </si>
  <si>
    <t>Bipana Adhikari(PU)</t>
  </si>
  <si>
    <t>Bipin Pandey(PU)</t>
  </si>
  <si>
    <t>Eugene Rai</t>
  </si>
  <si>
    <t>Himal kafle(PU)</t>
  </si>
  <si>
    <t>Ismile Khadka</t>
  </si>
  <si>
    <t>Jasmine Pun Magar</t>
  </si>
  <si>
    <t>kishor Panthi(PU)</t>
  </si>
  <si>
    <t>Krishna Kunwar(PU)</t>
  </si>
  <si>
    <t>Kritika Tandan(PU)</t>
  </si>
  <si>
    <t>Manish Gharti</t>
  </si>
  <si>
    <t>Manish Khanal(pu)</t>
  </si>
  <si>
    <t>Monika Gautam(PU)</t>
  </si>
  <si>
    <t>Monika Gupta(PU)</t>
  </si>
  <si>
    <t>Nishan Pandey</t>
  </si>
  <si>
    <t>Pankaj Kurmi</t>
  </si>
  <si>
    <t>Prakriti k.c</t>
  </si>
  <si>
    <t>Pritam pantha</t>
  </si>
  <si>
    <t>Priya Neupane</t>
  </si>
  <si>
    <t>Ritika Bada</t>
  </si>
  <si>
    <t xml:space="preserve">Ritika K.C </t>
  </si>
  <si>
    <t>Rohit Chaudhary</t>
  </si>
  <si>
    <t>Sachin Chudali</t>
  </si>
  <si>
    <t xml:space="preserve">sanam Ala </t>
  </si>
  <si>
    <t>Sandhya Aryal</t>
  </si>
  <si>
    <t xml:space="preserve">Sandhya Rijal </t>
  </si>
  <si>
    <t xml:space="preserve">Simran Thapa </t>
  </si>
  <si>
    <t>Usha Bashyal</t>
  </si>
  <si>
    <t xml:space="preserve">Total Working   Days (15) </t>
  </si>
  <si>
    <t xml:space="preserve">Puspa Thapa </t>
  </si>
  <si>
    <t>Total Working Days (19)</t>
  </si>
  <si>
    <t>Aakriti Gywali (PU)</t>
  </si>
  <si>
    <t>Akrti Pandey (PU)</t>
  </si>
  <si>
    <t>Aman Upadhyaya</t>
  </si>
  <si>
    <t>Amrita Pandey</t>
  </si>
  <si>
    <t>Amrita Pandey (PU)</t>
  </si>
  <si>
    <t>Anusha Gyawali</t>
  </si>
  <si>
    <t>Ayusha Khanal (PU)</t>
  </si>
  <si>
    <t>Bhawana Pandey (PU)</t>
  </si>
  <si>
    <t>Bipana Neupane (PU)</t>
  </si>
  <si>
    <t>Ishana Neupane</t>
  </si>
  <si>
    <t>Mega Thapa</t>
  </si>
  <si>
    <t>Nirmala Kunwar</t>
  </si>
  <si>
    <t>Nishant Rana</t>
  </si>
  <si>
    <t>Prakriti Pandey (PU)</t>
  </si>
  <si>
    <t>Pratikshya Paudyal</t>
  </si>
  <si>
    <t>Ranjana Kumari Chaudhary Thapa</t>
  </si>
  <si>
    <t>Rohit Tulachan</t>
  </si>
  <si>
    <t>Rupa Darlami (PU)</t>
  </si>
  <si>
    <t>Sampada Bagale</t>
  </si>
  <si>
    <t>Sangita Bhusal</t>
  </si>
  <si>
    <t>Shristi Pandey</t>
  </si>
  <si>
    <t>Simran Chhetri</t>
  </si>
  <si>
    <t>Thakur Prasad Khanal (PU)</t>
  </si>
  <si>
    <t>Yushika Gurung</t>
  </si>
  <si>
    <t xml:space="preserve">Total Working Days(15) </t>
  </si>
  <si>
    <t xml:space="preserve">BBA V Total Attendance </t>
  </si>
  <si>
    <t>Aarjoo Bajragharya</t>
  </si>
  <si>
    <t>Aashish Rayamajhi</t>
  </si>
  <si>
    <t>Aayush Khadka</t>
  </si>
  <si>
    <t>Amrit Gyawali</t>
  </si>
  <si>
    <t>Asmita Gaihre</t>
  </si>
  <si>
    <t>Barsha Kunwar</t>
  </si>
  <si>
    <t>Bikash Khatri Kshetri</t>
  </si>
  <si>
    <t>Chhabi Shrees</t>
  </si>
  <si>
    <t>Deepali Godar</t>
  </si>
  <si>
    <t>Gyanu Sharma Sapkota</t>
  </si>
  <si>
    <t>Himani Paudel</t>
  </si>
  <si>
    <t>Mahefuj Husen</t>
  </si>
  <si>
    <t>Muna Bhattarai</t>
  </si>
  <si>
    <t>Muskan Shrestha</t>
  </si>
  <si>
    <t>Nabin Khanal</t>
  </si>
  <si>
    <t>Niraj Shrestha</t>
  </si>
  <si>
    <t>Nitesh Kumar Kafle</t>
  </si>
  <si>
    <t>Pankaj Sharma Bashyal</t>
  </si>
  <si>
    <t>pooja Kumari Ray</t>
  </si>
  <si>
    <t>Prabesh Bhattarai</t>
  </si>
  <si>
    <t>Pradip Neupane</t>
  </si>
  <si>
    <t>Pratibha Gaire</t>
  </si>
  <si>
    <t>Pratishya BK</t>
  </si>
  <si>
    <t>Priya Pokhrel</t>
  </si>
  <si>
    <t>Rabina Chhetri</t>
  </si>
  <si>
    <t>Ramin Gautam</t>
  </si>
  <si>
    <t>Rupa Giri</t>
  </si>
  <si>
    <t>Sabina Panth</t>
  </si>
  <si>
    <t>Sandeepa Rakas</t>
  </si>
  <si>
    <t>Sarswati Yadav</t>
  </si>
  <si>
    <t>Sarmila BK</t>
  </si>
  <si>
    <t>Shishir Chhetri</t>
  </si>
  <si>
    <t>Suraj Bhandari</t>
  </si>
  <si>
    <t>Vagirathi Dhungana</t>
  </si>
  <si>
    <t xml:space="preserve">Anup Gahatraj </t>
  </si>
  <si>
    <t xml:space="preserve">BBA VII Total Attendance </t>
  </si>
  <si>
    <t>Aashish Gupta</t>
  </si>
  <si>
    <t xml:space="preserve">Alvin Shrestha </t>
  </si>
  <si>
    <t>Anil Adhikari</t>
  </si>
  <si>
    <t>Anisha Neupane</t>
  </si>
  <si>
    <t>Ankit Gurung</t>
  </si>
  <si>
    <t>Ashim Bhandari</t>
  </si>
  <si>
    <t>Bibek Khanal</t>
  </si>
  <si>
    <t>Bimala Gaire</t>
  </si>
  <si>
    <t>Bipana Adhikari</t>
  </si>
  <si>
    <t>Bisakha Pandey</t>
  </si>
  <si>
    <t>Dikshya Chaudhary</t>
  </si>
  <si>
    <t>Dikshya Thapa</t>
  </si>
  <si>
    <t>Farina Banu</t>
  </si>
  <si>
    <t>Hima Balal</t>
  </si>
  <si>
    <t>Janaki Chaudhary</t>
  </si>
  <si>
    <t>Kanchan G C</t>
  </si>
  <si>
    <t>Lawkush Yadav</t>
  </si>
  <si>
    <t>Laxman Gyawali</t>
  </si>
  <si>
    <t>Malati Khanal</t>
  </si>
  <si>
    <t>Monika Khatri</t>
  </si>
  <si>
    <t>Nisha Pariyar</t>
  </si>
  <si>
    <t xml:space="preserve">Prakisha Karmacharya         </t>
  </si>
  <si>
    <t>Prakriti Poudel</t>
  </si>
  <si>
    <t>Pratibha Kandel</t>
  </si>
  <si>
    <t>Pratik Poudel</t>
  </si>
  <si>
    <t>Puran Nepali</t>
  </si>
  <si>
    <t>Rabina Basnet</t>
  </si>
  <si>
    <t>Rabina Sharma Gaire</t>
  </si>
  <si>
    <t>Rajat Gahatraj</t>
  </si>
  <si>
    <t>Ramnath Gupta</t>
  </si>
  <si>
    <t>Rashmi Subba</t>
  </si>
  <si>
    <t>Ritik Denga Magar</t>
  </si>
  <si>
    <t>Sabina Gurung</t>
  </si>
  <si>
    <t>Sadhana Bhattarai</t>
  </si>
  <si>
    <t>Sahil Khan</t>
  </si>
  <si>
    <t>Sakar Regmi</t>
  </si>
  <si>
    <t>Sapana Bhusal</t>
  </si>
  <si>
    <t>Saroj Gaire</t>
  </si>
  <si>
    <t>Shristi  Bashyal</t>
  </si>
  <si>
    <t>Srijana Khatri</t>
  </si>
  <si>
    <t>Suraj Yadav Ahir</t>
  </si>
  <si>
    <t>Yogyata Bhandari</t>
  </si>
  <si>
    <t>Total Working Days(19)</t>
  </si>
  <si>
    <t>Total Workin Days(19)</t>
  </si>
  <si>
    <t xml:space="preserve">Total working Days(73) </t>
  </si>
  <si>
    <t xml:space="preserve">Total working Days(75) </t>
  </si>
  <si>
    <t xml:space="preserve">Yamuna Chhetri </t>
  </si>
  <si>
    <t xml:space="preserve">Total Working Days(19) </t>
  </si>
  <si>
    <t xml:space="preserve">Asmita Adhikari </t>
  </si>
  <si>
    <t xml:space="preserve">Bishal Rana Magar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</si>
</sst>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2"/>
      <name val="Calibri"/>
      <family val="2"/>
      <scheme val="minor"/>
    </font>
    <font>
      <sz val="13"/>
      <name val="Calibri"/>
      <family val="2"/>
      <scheme val="minor"/>
    </font>
    <font>
      <sz val="14"/>
      <name val="Cambria"/>
      <family val="1"/>
      <scheme val="major"/>
    </font>
    <font>
      <sz val="13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left"/>
    </xf>
    <xf numFmtId="0" fontId="1" fillId="0" borderId="0" xfId="0" applyFont="1" applyAlignment="1">
      <alignment horizontal="left" indent="6"/>
    </xf>
    <xf numFmtId="0" fontId="7" fillId="2" borderId="1" xfId="0" applyFont="1" applyFill="1" applyBorder="1"/>
    <xf numFmtId="0" fontId="7" fillId="0" borderId="1" xfId="0" applyFont="1" applyFill="1" applyBorder="1"/>
    <xf numFmtId="0" fontId="7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/>
    </xf>
    <xf numFmtId="0" fontId="8" fillId="2" borderId="1" xfId="0" applyFont="1" applyFill="1" applyBorder="1"/>
    <xf numFmtId="0" fontId="0" fillId="0" borderId="1" xfId="0" applyFill="1" applyBorder="1" applyAlignment="1">
      <alignment horizontal="center"/>
    </xf>
    <xf numFmtId="0" fontId="8" fillId="2" borderId="5" xfId="0" applyFont="1" applyFill="1" applyBorder="1"/>
    <xf numFmtId="0" fontId="3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3" fillId="0" borderId="2" xfId="0" applyFont="1" applyBorder="1" applyAlignment="1"/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0" fillId="0" borderId="3" xfId="0" applyFont="1" applyBorder="1"/>
    <xf numFmtId="0" fontId="0" fillId="0" borderId="1" xfId="0" applyFont="1" applyFill="1" applyBorder="1"/>
    <xf numFmtId="0" fontId="10" fillId="2" borderId="1" xfId="1" applyFont="1" applyFill="1" applyBorder="1" applyAlignment="1">
      <alignment horizontal="center" vertical="center"/>
    </xf>
    <xf numFmtId="0" fontId="0" fillId="0" borderId="1" xfId="0" applyFill="1" applyBorder="1"/>
    <xf numFmtId="0" fontId="0" fillId="2" borderId="3" xfId="0" applyFill="1" applyBorder="1"/>
    <xf numFmtId="0" fontId="3" fillId="2" borderId="0" xfId="0" applyFont="1" applyFill="1"/>
    <xf numFmtId="0" fontId="3" fillId="2" borderId="2" xfId="0" applyFont="1" applyFill="1" applyBorder="1"/>
    <xf numFmtId="0" fontId="4" fillId="2" borderId="3" xfId="0" applyFont="1" applyFill="1" applyBorder="1"/>
    <xf numFmtId="0" fontId="0" fillId="2" borderId="0" xfId="0" applyFill="1"/>
    <xf numFmtId="0" fontId="11" fillId="2" borderId="1" xfId="1" applyFont="1" applyFill="1" applyBorder="1" applyAlignment="1">
      <alignment horizontal="center" vertical="center"/>
    </xf>
    <xf numFmtId="0" fontId="2" fillId="2" borderId="1" xfId="4" applyFont="1" applyFill="1" applyBorder="1"/>
    <xf numFmtId="0" fontId="2" fillId="2" borderId="1" xfId="5" applyFont="1" applyFill="1" applyBorder="1"/>
    <xf numFmtId="0" fontId="2" fillId="2" borderId="1" xfId="6" applyFont="1" applyFill="1" applyBorder="1"/>
    <xf numFmtId="0" fontId="2" fillId="2" borderId="1" xfId="7" applyFont="1" applyFill="1" applyBorder="1"/>
    <xf numFmtId="0" fontId="5" fillId="0" borderId="2" xfId="0" applyFont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0" fontId="1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14" fillId="2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11" fillId="2" borderId="1" xfId="1" applyFont="1" applyFill="1" applyBorder="1" applyAlignment="1">
      <alignment horizontal="center"/>
    </xf>
    <xf numFmtId="0" fontId="0" fillId="0" borderId="4" xfId="0" applyFill="1" applyBorder="1"/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Border="1"/>
  </cellXfs>
  <cellStyles count="8">
    <cellStyle name="Normal" xfId="0" builtinId="0"/>
    <cellStyle name="Normal 11" xfId="6"/>
    <cellStyle name="Normal 12" xfId="4"/>
    <cellStyle name="Normal 13" xfId="7"/>
    <cellStyle name="Normal 2" xfId="5"/>
    <cellStyle name="Normal 3" xfId="1"/>
    <cellStyle name="Normal 4" xfId="2"/>
    <cellStyle name="Normal 5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E21" sqref="E21"/>
    </sheetView>
  </sheetViews>
  <sheetFormatPr defaultRowHeight="15" x14ac:dyDescent="0.25"/>
  <cols>
    <col min="2" max="2" width="24.140625" customWidth="1"/>
    <col min="3" max="3" width="21" customWidth="1"/>
    <col min="4" max="5" width="20" customWidth="1"/>
    <col min="6" max="6" width="18.42578125" customWidth="1"/>
    <col min="7" max="7" width="18.7109375" customWidth="1"/>
  </cols>
  <sheetData>
    <row r="1" spans="1:7" ht="21" x14ac:dyDescent="0.35">
      <c r="C1" s="1" t="s">
        <v>0</v>
      </c>
    </row>
    <row r="2" spans="1:7" ht="21" x14ac:dyDescent="0.35">
      <c r="C2" s="18" t="s">
        <v>90</v>
      </c>
    </row>
    <row r="3" spans="1:7" x14ac:dyDescent="0.25">
      <c r="A3" s="3" t="s">
        <v>1</v>
      </c>
      <c r="B3" s="4" t="s">
        <v>2</v>
      </c>
      <c r="C3" s="4" t="s">
        <v>3</v>
      </c>
      <c r="D3" s="4" t="s">
        <v>3</v>
      </c>
      <c r="E3" s="4" t="s">
        <v>3</v>
      </c>
      <c r="F3" s="4" t="s">
        <v>3</v>
      </c>
      <c r="G3" s="3" t="s">
        <v>4</v>
      </c>
    </row>
    <row r="4" spans="1:7" x14ac:dyDescent="0.25">
      <c r="A4" s="5"/>
      <c r="B4" s="6"/>
      <c r="C4" s="8" t="s">
        <v>5</v>
      </c>
      <c r="D4" s="8" t="s">
        <v>51</v>
      </c>
      <c r="E4" s="8" t="s">
        <v>54</v>
      </c>
      <c r="F4" s="8" t="s">
        <v>52</v>
      </c>
      <c r="G4" s="7" t="s">
        <v>6</v>
      </c>
    </row>
    <row r="5" spans="1:7" x14ac:dyDescent="0.25">
      <c r="A5" s="9"/>
      <c r="B5" s="10"/>
      <c r="C5" s="11" t="s">
        <v>7</v>
      </c>
      <c r="D5" s="11" t="s">
        <v>8</v>
      </c>
      <c r="E5" s="11" t="s">
        <v>9</v>
      </c>
      <c r="F5" s="11" t="s">
        <v>10</v>
      </c>
      <c r="G5" s="12"/>
    </row>
    <row r="6" spans="1:7" x14ac:dyDescent="0.25">
      <c r="A6" s="2">
        <v>1</v>
      </c>
      <c r="B6" s="15" t="s">
        <v>11</v>
      </c>
      <c r="C6" s="2">
        <v>15</v>
      </c>
      <c r="D6" s="2">
        <v>23</v>
      </c>
      <c r="E6" s="2">
        <v>12</v>
      </c>
      <c r="F6" s="2">
        <v>18</v>
      </c>
      <c r="G6" s="2">
        <f t="shared" ref="G6:G24" si="0">C6+D6+E6+F6</f>
        <v>68</v>
      </c>
    </row>
    <row r="7" spans="1:7" x14ac:dyDescent="0.25">
      <c r="A7" s="2">
        <v>2</v>
      </c>
      <c r="B7" s="17" t="s">
        <v>12</v>
      </c>
      <c r="C7" s="2">
        <v>11</v>
      </c>
      <c r="D7" s="2">
        <v>19</v>
      </c>
      <c r="E7" s="2">
        <v>8</v>
      </c>
      <c r="F7" s="2">
        <v>15</v>
      </c>
      <c r="G7" s="2">
        <f t="shared" si="0"/>
        <v>53</v>
      </c>
    </row>
    <row r="8" spans="1:7" x14ac:dyDescent="0.25">
      <c r="A8" s="2">
        <v>3</v>
      </c>
      <c r="B8" s="16" t="s">
        <v>13</v>
      </c>
      <c r="C8" s="2">
        <v>13</v>
      </c>
      <c r="D8" s="2">
        <v>21</v>
      </c>
      <c r="E8" s="2">
        <v>11</v>
      </c>
      <c r="F8" s="2">
        <v>15</v>
      </c>
      <c r="G8" s="2">
        <f t="shared" si="0"/>
        <v>60</v>
      </c>
    </row>
    <row r="9" spans="1:7" x14ac:dyDescent="0.25">
      <c r="A9" s="2">
        <v>4</v>
      </c>
      <c r="B9" s="15" t="s">
        <v>14</v>
      </c>
      <c r="C9" s="2">
        <v>12</v>
      </c>
      <c r="D9" s="2">
        <v>17</v>
      </c>
      <c r="E9" s="2">
        <v>10</v>
      </c>
      <c r="F9" s="2">
        <v>16</v>
      </c>
      <c r="G9" s="2">
        <f t="shared" si="0"/>
        <v>55</v>
      </c>
    </row>
    <row r="10" spans="1:7" x14ac:dyDescent="0.25">
      <c r="A10" s="2">
        <v>5</v>
      </c>
      <c r="B10" s="15" t="s">
        <v>15</v>
      </c>
      <c r="C10" s="2">
        <v>13</v>
      </c>
      <c r="D10" s="2">
        <v>17</v>
      </c>
      <c r="E10" s="2">
        <v>5</v>
      </c>
      <c r="F10" s="2">
        <v>11</v>
      </c>
      <c r="G10" s="2">
        <f t="shared" si="0"/>
        <v>46</v>
      </c>
    </row>
    <row r="11" spans="1:7" x14ac:dyDescent="0.25">
      <c r="A11" s="2">
        <v>6</v>
      </c>
      <c r="B11" s="15" t="s">
        <v>16</v>
      </c>
      <c r="C11" s="2">
        <v>16</v>
      </c>
      <c r="D11" s="2">
        <v>22</v>
      </c>
      <c r="E11" s="2">
        <v>16</v>
      </c>
      <c r="F11" s="2">
        <v>13</v>
      </c>
      <c r="G11" s="2">
        <f t="shared" si="0"/>
        <v>67</v>
      </c>
    </row>
    <row r="12" spans="1:7" x14ac:dyDescent="0.25">
      <c r="A12" s="2">
        <v>7</v>
      </c>
      <c r="B12" s="17" t="s">
        <v>17</v>
      </c>
      <c r="C12" s="2">
        <v>11</v>
      </c>
      <c r="D12" s="2">
        <v>13</v>
      </c>
      <c r="E12" s="2">
        <v>8</v>
      </c>
      <c r="F12" s="2">
        <v>15</v>
      </c>
      <c r="G12" s="2">
        <f t="shared" si="0"/>
        <v>47</v>
      </c>
    </row>
    <row r="13" spans="1:7" x14ac:dyDescent="0.25">
      <c r="A13" s="2">
        <v>8</v>
      </c>
      <c r="B13" s="15" t="s">
        <v>18</v>
      </c>
      <c r="C13" s="2">
        <v>12</v>
      </c>
      <c r="D13" s="2">
        <v>14</v>
      </c>
      <c r="E13" s="2">
        <v>9</v>
      </c>
      <c r="F13" s="2">
        <v>12</v>
      </c>
      <c r="G13" s="2">
        <f t="shared" si="0"/>
        <v>47</v>
      </c>
    </row>
    <row r="14" spans="1:7" x14ac:dyDescent="0.25">
      <c r="A14" s="2">
        <v>9</v>
      </c>
      <c r="B14" s="16" t="s">
        <v>19</v>
      </c>
      <c r="C14" s="2">
        <v>10</v>
      </c>
      <c r="D14" s="2">
        <v>20</v>
      </c>
      <c r="E14" s="2">
        <v>12</v>
      </c>
      <c r="F14" s="2">
        <v>14</v>
      </c>
      <c r="G14" s="2">
        <f t="shared" si="0"/>
        <v>56</v>
      </c>
    </row>
    <row r="15" spans="1:7" x14ac:dyDescent="0.25">
      <c r="A15" s="2">
        <v>10</v>
      </c>
      <c r="B15" s="17" t="s">
        <v>20</v>
      </c>
      <c r="C15" s="2">
        <v>13</v>
      </c>
      <c r="D15" s="2">
        <v>21</v>
      </c>
      <c r="E15" s="2">
        <v>12</v>
      </c>
      <c r="F15" s="2">
        <v>16</v>
      </c>
      <c r="G15" s="2">
        <f t="shared" si="0"/>
        <v>62</v>
      </c>
    </row>
    <row r="16" spans="1:7" x14ac:dyDescent="0.25">
      <c r="A16" s="2">
        <v>11</v>
      </c>
      <c r="B16" s="17" t="s">
        <v>21</v>
      </c>
      <c r="C16" s="2">
        <v>9</v>
      </c>
      <c r="D16" s="2">
        <v>18</v>
      </c>
      <c r="E16" s="2">
        <v>8</v>
      </c>
      <c r="F16" s="2">
        <v>12</v>
      </c>
      <c r="G16" s="2">
        <f t="shared" si="0"/>
        <v>47</v>
      </c>
    </row>
    <row r="17" spans="1:7" x14ac:dyDescent="0.25">
      <c r="A17" s="2">
        <v>12</v>
      </c>
      <c r="B17" s="15" t="s">
        <v>22</v>
      </c>
      <c r="C17" s="2">
        <v>11</v>
      </c>
      <c r="D17" s="2">
        <v>15</v>
      </c>
      <c r="E17" s="2">
        <v>14</v>
      </c>
      <c r="F17" s="2">
        <v>16</v>
      </c>
      <c r="G17" s="2">
        <f t="shared" si="0"/>
        <v>56</v>
      </c>
    </row>
    <row r="18" spans="1:7" x14ac:dyDescent="0.25">
      <c r="A18" s="2">
        <v>13</v>
      </c>
      <c r="B18" s="15" t="s">
        <v>23</v>
      </c>
      <c r="C18" s="2">
        <v>17</v>
      </c>
      <c r="D18" s="2">
        <v>21</v>
      </c>
      <c r="E18" s="2">
        <v>15</v>
      </c>
      <c r="F18" s="2">
        <v>20</v>
      </c>
      <c r="G18" s="2">
        <f t="shared" si="0"/>
        <v>73</v>
      </c>
    </row>
    <row r="19" spans="1:7" x14ac:dyDescent="0.25">
      <c r="A19" s="2">
        <v>14</v>
      </c>
      <c r="B19" s="15" t="s">
        <v>24</v>
      </c>
      <c r="C19" s="2">
        <v>5</v>
      </c>
      <c r="D19" s="2">
        <v>11</v>
      </c>
      <c r="E19" s="2">
        <v>6</v>
      </c>
      <c r="F19" s="2">
        <v>15</v>
      </c>
      <c r="G19" s="2">
        <f t="shared" si="0"/>
        <v>37</v>
      </c>
    </row>
    <row r="20" spans="1:7" x14ac:dyDescent="0.25">
      <c r="A20" s="2">
        <v>15</v>
      </c>
      <c r="B20" s="15" t="s">
        <v>25</v>
      </c>
      <c r="C20" s="2">
        <v>4</v>
      </c>
      <c r="D20" s="2">
        <v>16</v>
      </c>
      <c r="E20" s="2">
        <v>6</v>
      </c>
      <c r="F20" s="2">
        <v>15</v>
      </c>
      <c r="G20" s="2">
        <f t="shared" si="0"/>
        <v>41</v>
      </c>
    </row>
    <row r="21" spans="1:7" x14ac:dyDescent="0.25">
      <c r="A21" s="2">
        <v>16</v>
      </c>
      <c r="B21" s="15" t="s">
        <v>26</v>
      </c>
      <c r="C21" s="2">
        <v>9</v>
      </c>
      <c r="D21" s="2">
        <v>16</v>
      </c>
      <c r="E21" s="2">
        <v>6</v>
      </c>
      <c r="F21" s="2">
        <v>5</v>
      </c>
      <c r="G21" s="2">
        <f t="shared" si="0"/>
        <v>36</v>
      </c>
    </row>
    <row r="22" spans="1:7" x14ac:dyDescent="0.25">
      <c r="A22" s="2">
        <v>17</v>
      </c>
      <c r="B22" s="17" t="s">
        <v>27</v>
      </c>
      <c r="C22" s="2">
        <v>15</v>
      </c>
      <c r="D22" s="2">
        <v>18</v>
      </c>
      <c r="E22" s="2">
        <v>3</v>
      </c>
      <c r="F22" s="2">
        <v>15</v>
      </c>
      <c r="G22" s="2">
        <f t="shared" si="0"/>
        <v>51</v>
      </c>
    </row>
    <row r="23" spans="1:7" x14ac:dyDescent="0.25">
      <c r="A23" s="2">
        <v>18</v>
      </c>
      <c r="B23" s="17" t="s">
        <v>28</v>
      </c>
      <c r="C23" s="2">
        <v>14</v>
      </c>
      <c r="D23" s="2">
        <v>20</v>
      </c>
      <c r="E23" s="2">
        <v>14</v>
      </c>
      <c r="F23" s="2">
        <v>20</v>
      </c>
      <c r="G23" s="2">
        <f t="shared" si="0"/>
        <v>68</v>
      </c>
    </row>
    <row r="24" spans="1:7" x14ac:dyDescent="0.25">
      <c r="A24" s="2">
        <v>19</v>
      </c>
      <c r="B24" s="15" t="s">
        <v>29</v>
      </c>
      <c r="C24" s="2">
        <v>15</v>
      </c>
      <c r="D24" s="2">
        <v>19</v>
      </c>
      <c r="E24" s="2">
        <v>14</v>
      </c>
      <c r="F24" s="2">
        <v>16</v>
      </c>
      <c r="G24" s="2">
        <f t="shared" si="0"/>
        <v>64</v>
      </c>
    </row>
    <row r="25" spans="1:7" x14ac:dyDescent="0.25">
      <c r="A25" s="2">
        <v>20</v>
      </c>
      <c r="B25" s="15" t="s">
        <v>30</v>
      </c>
      <c r="C25" s="2">
        <v>13</v>
      </c>
      <c r="D25" s="2">
        <v>23</v>
      </c>
      <c r="E25" s="2">
        <v>15</v>
      </c>
      <c r="F25" s="2">
        <v>15</v>
      </c>
      <c r="G25" s="2">
        <f>C24+D24+E24+F24</f>
        <v>64</v>
      </c>
    </row>
    <row r="26" spans="1:7" x14ac:dyDescent="0.25">
      <c r="A26" s="2">
        <v>21</v>
      </c>
      <c r="B26" s="17" t="s">
        <v>31</v>
      </c>
      <c r="C26" s="2">
        <v>17</v>
      </c>
      <c r="D26" s="2">
        <v>21</v>
      </c>
      <c r="E26" s="2">
        <v>11</v>
      </c>
      <c r="F26" s="2">
        <v>15</v>
      </c>
      <c r="G26" s="2">
        <f t="shared" ref="G26:G46" si="1">C26+D26+E26+F26</f>
        <v>64</v>
      </c>
    </row>
    <row r="27" spans="1:7" s="13" customFormat="1" x14ac:dyDescent="0.25">
      <c r="A27" s="2">
        <v>22</v>
      </c>
      <c r="B27" s="17" t="s">
        <v>50</v>
      </c>
      <c r="C27" s="2">
        <v>15</v>
      </c>
      <c r="D27" s="2">
        <v>19</v>
      </c>
      <c r="E27" s="2">
        <v>13</v>
      </c>
      <c r="F27" s="2">
        <v>20</v>
      </c>
      <c r="G27" s="2">
        <f t="shared" si="1"/>
        <v>67</v>
      </c>
    </row>
    <row r="28" spans="1:7" x14ac:dyDescent="0.25">
      <c r="A28" s="2">
        <v>23</v>
      </c>
      <c r="B28" s="15" t="s">
        <v>32</v>
      </c>
      <c r="C28" s="2">
        <v>14</v>
      </c>
      <c r="D28" s="2">
        <v>20</v>
      </c>
      <c r="E28" s="2">
        <v>8</v>
      </c>
      <c r="F28" s="2">
        <v>13</v>
      </c>
      <c r="G28" s="2">
        <f t="shared" si="1"/>
        <v>55</v>
      </c>
    </row>
    <row r="29" spans="1:7" x14ac:dyDescent="0.25">
      <c r="A29" s="2">
        <v>24</v>
      </c>
      <c r="B29" s="15" t="s">
        <v>33</v>
      </c>
      <c r="C29" s="2">
        <v>15</v>
      </c>
      <c r="D29" s="2">
        <v>20</v>
      </c>
      <c r="E29" s="2">
        <v>13</v>
      </c>
      <c r="F29" s="2">
        <v>13</v>
      </c>
      <c r="G29" s="2">
        <f t="shared" si="1"/>
        <v>61</v>
      </c>
    </row>
    <row r="30" spans="1:7" x14ac:dyDescent="0.25">
      <c r="A30" s="2">
        <v>25</v>
      </c>
      <c r="B30" s="15" t="s">
        <v>34</v>
      </c>
      <c r="C30" s="2">
        <v>17</v>
      </c>
      <c r="D30" s="2">
        <v>20</v>
      </c>
      <c r="E30" s="2">
        <v>11</v>
      </c>
      <c r="F30" s="2">
        <v>15</v>
      </c>
      <c r="G30" s="2">
        <f t="shared" si="1"/>
        <v>63</v>
      </c>
    </row>
    <row r="31" spans="1:7" x14ac:dyDescent="0.25">
      <c r="A31" s="2">
        <v>26</v>
      </c>
      <c r="B31" s="15" t="s">
        <v>35</v>
      </c>
      <c r="C31" s="2">
        <v>12</v>
      </c>
      <c r="D31" s="2">
        <v>19</v>
      </c>
      <c r="E31" s="2">
        <v>13</v>
      </c>
      <c r="F31" s="2">
        <v>19</v>
      </c>
      <c r="G31" s="2">
        <f t="shared" si="1"/>
        <v>63</v>
      </c>
    </row>
    <row r="32" spans="1:7" x14ac:dyDescent="0.25">
      <c r="A32" s="2">
        <v>27</v>
      </c>
      <c r="B32" s="15" t="s">
        <v>36</v>
      </c>
      <c r="C32" s="2">
        <v>9</v>
      </c>
      <c r="D32" s="2">
        <v>16</v>
      </c>
      <c r="E32" s="2">
        <v>3</v>
      </c>
      <c r="F32" s="2">
        <v>8</v>
      </c>
      <c r="G32" s="2">
        <f t="shared" si="1"/>
        <v>36</v>
      </c>
    </row>
    <row r="33" spans="1:7" x14ac:dyDescent="0.25">
      <c r="A33" s="2">
        <v>28</v>
      </c>
      <c r="B33" s="15" t="s">
        <v>37</v>
      </c>
      <c r="C33" s="2">
        <v>8</v>
      </c>
      <c r="D33" s="2">
        <v>16</v>
      </c>
      <c r="E33" s="2">
        <v>5</v>
      </c>
      <c r="F33" s="2">
        <v>13</v>
      </c>
      <c r="G33" s="2">
        <f t="shared" si="1"/>
        <v>42</v>
      </c>
    </row>
    <row r="34" spans="1:7" x14ac:dyDescent="0.25">
      <c r="A34" s="2">
        <v>29</v>
      </c>
      <c r="B34" s="15" t="s">
        <v>38</v>
      </c>
      <c r="C34" s="2">
        <v>15</v>
      </c>
      <c r="D34" s="2">
        <v>17</v>
      </c>
      <c r="E34" s="2">
        <v>10</v>
      </c>
      <c r="F34" s="2">
        <v>18</v>
      </c>
      <c r="G34" s="2">
        <f t="shared" si="1"/>
        <v>60</v>
      </c>
    </row>
    <row r="35" spans="1:7" x14ac:dyDescent="0.25">
      <c r="A35" s="2">
        <v>30</v>
      </c>
      <c r="B35" s="17" t="s">
        <v>39</v>
      </c>
      <c r="C35" s="2">
        <v>7</v>
      </c>
      <c r="D35" s="2">
        <v>17</v>
      </c>
      <c r="E35" s="2">
        <v>6</v>
      </c>
      <c r="F35" s="2">
        <v>13</v>
      </c>
      <c r="G35" s="2">
        <f t="shared" si="1"/>
        <v>43</v>
      </c>
    </row>
    <row r="36" spans="1:7" x14ac:dyDescent="0.25">
      <c r="A36" s="2">
        <v>31</v>
      </c>
      <c r="B36" s="15" t="s">
        <v>40</v>
      </c>
      <c r="C36" s="2">
        <v>16</v>
      </c>
      <c r="D36" s="2">
        <v>21</v>
      </c>
      <c r="E36" s="2">
        <v>12</v>
      </c>
      <c r="F36" s="2">
        <v>15</v>
      </c>
      <c r="G36" s="2">
        <f t="shared" si="1"/>
        <v>64</v>
      </c>
    </row>
    <row r="37" spans="1:7" x14ac:dyDescent="0.25">
      <c r="A37" s="2">
        <v>32</v>
      </c>
      <c r="B37" s="15" t="s">
        <v>41</v>
      </c>
      <c r="C37" s="2">
        <v>13</v>
      </c>
      <c r="D37" s="2">
        <v>19</v>
      </c>
      <c r="E37" s="2">
        <v>9</v>
      </c>
      <c r="F37" s="2">
        <v>17</v>
      </c>
      <c r="G37" s="2">
        <f t="shared" si="1"/>
        <v>58</v>
      </c>
    </row>
    <row r="38" spans="1:7" x14ac:dyDescent="0.25">
      <c r="A38" s="2">
        <v>33</v>
      </c>
      <c r="B38" s="17" t="s">
        <v>42</v>
      </c>
      <c r="C38" s="2">
        <v>12</v>
      </c>
      <c r="D38" s="2">
        <v>16</v>
      </c>
      <c r="E38" s="2">
        <v>7</v>
      </c>
      <c r="F38" s="2">
        <v>7</v>
      </c>
      <c r="G38" s="2">
        <f t="shared" si="1"/>
        <v>42</v>
      </c>
    </row>
    <row r="39" spans="1:7" x14ac:dyDescent="0.25">
      <c r="A39" s="2">
        <v>34</v>
      </c>
      <c r="B39" s="15" t="s">
        <v>43</v>
      </c>
      <c r="C39" s="2">
        <v>14</v>
      </c>
      <c r="D39" s="2">
        <v>14</v>
      </c>
      <c r="E39" s="2">
        <v>9</v>
      </c>
      <c r="F39" s="2">
        <v>11</v>
      </c>
      <c r="G39" s="2">
        <f t="shared" si="1"/>
        <v>48</v>
      </c>
    </row>
    <row r="40" spans="1:7" x14ac:dyDescent="0.25">
      <c r="A40" s="2">
        <v>35</v>
      </c>
      <c r="B40" s="15" t="s">
        <v>44</v>
      </c>
      <c r="C40" s="2">
        <v>15</v>
      </c>
      <c r="D40" s="2">
        <v>19</v>
      </c>
      <c r="E40" s="2">
        <v>13</v>
      </c>
      <c r="F40" s="2">
        <v>16</v>
      </c>
      <c r="G40" s="2">
        <f t="shared" si="1"/>
        <v>63</v>
      </c>
    </row>
    <row r="41" spans="1:7" x14ac:dyDescent="0.25">
      <c r="A41" s="2">
        <v>36</v>
      </c>
      <c r="B41" s="15" t="s">
        <v>45</v>
      </c>
      <c r="C41" s="2">
        <v>17</v>
      </c>
      <c r="D41" s="2">
        <v>23</v>
      </c>
      <c r="E41" s="2">
        <v>15</v>
      </c>
      <c r="F41" s="2">
        <v>19</v>
      </c>
      <c r="G41" s="2">
        <f t="shared" si="1"/>
        <v>74</v>
      </c>
    </row>
    <row r="42" spans="1:7" x14ac:dyDescent="0.25">
      <c r="A42" s="2">
        <v>37</v>
      </c>
      <c r="B42" s="15" t="s">
        <v>46</v>
      </c>
      <c r="C42" s="2">
        <v>12</v>
      </c>
      <c r="D42" s="2">
        <v>20</v>
      </c>
      <c r="E42" s="2">
        <v>17</v>
      </c>
      <c r="F42" s="2">
        <v>15</v>
      </c>
      <c r="G42" s="2">
        <f t="shared" si="1"/>
        <v>64</v>
      </c>
    </row>
    <row r="43" spans="1:7" s="13" customFormat="1" x14ac:dyDescent="0.25">
      <c r="A43" s="2">
        <v>38</v>
      </c>
      <c r="B43" s="15" t="s">
        <v>53</v>
      </c>
      <c r="C43" s="2">
        <v>14</v>
      </c>
      <c r="D43" s="2">
        <v>13</v>
      </c>
      <c r="E43" s="2">
        <v>9</v>
      </c>
      <c r="F43" s="2">
        <v>16</v>
      </c>
      <c r="G43" s="2">
        <f t="shared" si="1"/>
        <v>52</v>
      </c>
    </row>
    <row r="44" spans="1:7" x14ac:dyDescent="0.25">
      <c r="A44" s="2">
        <v>38</v>
      </c>
      <c r="B44" s="15" t="s">
        <v>47</v>
      </c>
      <c r="C44" s="2">
        <v>14</v>
      </c>
      <c r="D44" s="2">
        <v>13</v>
      </c>
      <c r="E44" s="2">
        <v>9</v>
      </c>
      <c r="F44" s="2">
        <v>16</v>
      </c>
      <c r="G44" s="2">
        <f t="shared" si="1"/>
        <v>52</v>
      </c>
    </row>
    <row r="45" spans="1:7" x14ac:dyDescent="0.25">
      <c r="A45" s="2">
        <v>39</v>
      </c>
      <c r="B45" s="15" t="s">
        <v>48</v>
      </c>
      <c r="C45" s="2">
        <v>7</v>
      </c>
      <c r="D45" s="2">
        <v>14</v>
      </c>
      <c r="E45" s="2">
        <v>2</v>
      </c>
      <c r="F45" s="2">
        <v>9</v>
      </c>
      <c r="G45" s="2">
        <f t="shared" si="1"/>
        <v>32</v>
      </c>
    </row>
    <row r="46" spans="1:7" x14ac:dyDescent="0.25">
      <c r="A46" s="2">
        <v>40</v>
      </c>
      <c r="B46" s="16" t="s">
        <v>49</v>
      </c>
      <c r="C46" s="2">
        <v>13</v>
      </c>
      <c r="D46" s="2">
        <v>16</v>
      </c>
      <c r="E46" s="2">
        <v>11</v>
      </c>
      <c r="F46" s="2">
        <v>11</v>
      </c>
      <c r="G46" s="2">
        <f t="shared" si="1"/>
        <v>51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F10" sqref="F10"/>
    </sheetView>
  </sheetViews>
  <sheetFormatPr defaultRowHeight="15" x14ac:dyDescent="0.25"/>
  <cols>
    <col min="1" max="1" width="9.140625" style="25"/>
    <col min="2" max="2" width="27.42578125" customWidth="1"/>
    <col min="3" max="3" width="21" customWidth="1"/>
    <col min="4" max="4" width="19.42578125" style="25" customWidth="1"/>
    <col min="5" max="5" width="20.140625" customWidth="1"/>
    <col min="6" max="6" width="18.7109375" customWidth="1"/>
    <col min="7" max="7" width="18.28515625" style="25" customWidth="1"/>
  </cols>
  <sheetData>
    <row r="1" spans="1:7" ht="21" x14ac:dyDescent="0.35">
      <c r="B1" s="13"/>
      <c r="C1" s="1" t="s">
        <v>0</v>
      </c>
      <c r="E1" s="13"/>
      <c r="F1" s="13"/>
    </row>
    <row r="2" spans="1:7" ht="21" x14ac:dyDescent="0.35">
      <c r="B2" s="13"/>
      <c r="C2" s="18" t="s">
        <v>89</v>
      </c>
      <c r="E2" s="13"/>
      <c r="F2" s="13"/>
    </row>
    <row r="3" spans="1:7" x14ac:dyDescent="0.25">
      <c r="A3" s="3" t="s">
        <v>1</v>
      </c>
      <c r="B3" s="4" t="s">
        <v>2</v>
      </c>
      <c r="C3" s="4" t="s">
        <v>3</v>
      </c>
      <c r="D3" s="3" t="s">
        <v>3</v>
      </c>
      <c r="E3" s="4" t="s">
        <v>3</v>
      </c>
      <c r="F3" s="4" t="s">
        <v>3</v>
      </c>
      <c r="G3" s="3" t="s">
        <v>4</v>
      </c>
    </row>
    <row r="4" spans="1:7" x14ac:dyDescent="0.25">
      <c r="A4" s="3"/>
      <c r="B4" s="4"/>
      <c r="C4" s="22" t="s">
        <v>112</v>
      </c>
      <c r="D4" s="7" t="s">
        <v>111</v>
      </c>
      <c r="E4" s="22" t="s">
        <v>115</v>
      </c>
      <c r="F4" s="22" t="s">
        <v>113</v>
      </c>
      <c r="G4" s="7" t="s">
        <v>137</v>
      </c>
    </row>
    <row r="5" spans="1:7" x14ac:dyDescent="0.25">
      <c r="A5" s="23"/>
      <c r="B5" s="24"/>
      <c r="C5" s="3" t="s">
        <v>7</v>
      </c>
      <c r="D5" s="3" t="s">
        <v>8</v>
      </c>
      <c r="E5" s="3" t="s">
        <v>9</v>
      </c>
      <c r="F5" s="3" t="s">
        <v>10</v>
      </c>
      <c r="G5" s="3"/>
    </row>
    <row r="6" spans="1:7" ht="15.75" x14ac:dyDescent="0.25">
      <c r="A6" s="2">
        <v>1</v>
      </c>
      <c r="B6" s="19" t="s">
        <v>55</v>
      </c>
      <c r="C6" s="2">
        <v>5</v>
      </c>
      <c r="D6" s="2">
        <v>16</v>
      </c>
      <c r="E6" s="2">
        <v>15</v>
      </c>
      <c r="F6" s="2">
        <v>14</v>
      </c>
      <c r="G6" s="2">
        <f t="shared" ref="G6:G13" si="0">F6+E6+D6+C6</f>
        <v>50</v>
      </c>
    </row>
    <row r="7" spans="1:7" ht="15.75" x14ac:dyDescent="0.25">
      <c r="A7" s="2">
        <v>2</v>
      </c>
      <c r="B7" s="19" t="s">
        <v>56</v>
      </c>
      <c r="C7" s="2">
        <v>5</v>
      </c>
      <c r="D7" s="2">
        <v>15</v>
      </c>
      <c r="E7" s="2">
        <v>11</v>
      </c>
      <c r="F7" s="2">
        <v>6</v>
      </c>
      <c r="G7" s="2">
        <f t="shared" si="0"/>
        <v>37</v>
      </c>
    </row>
    <row r="8" spans="1:7" ht="15.75" x14ac:dyDescent="0.25">
      <c r="A8" s="2">
        <v>3</v>
      </c>
      <c r="B8" s="20" t="s">
        <v>57</v>
      </c>
      <c r="C8" s="2">
        <v>8</v>
      </c>
      <c r="D8" s="2">
        <v>18</v>
      </c>
      <c r="E8" s="2">
        <v>14</v>
      </c>
      <c r="F8" s="2">
        <v>17</v>
      </c>
      <c r="G8" s="2">
        <f t="shared" si="0"/>
        <v>57</v>
      </c>
    </row>
    <row r="9" spans="1:7" ht="15.75" x14ac:dyDescent="0.25">
      <c r="A9" s="2">
        <v>4</v>
      </c>
      <c r="B9" s="19" t="s">
        <v>58</v>
      </c>
      <c r="C9" s="2">
        <v>5</v>
      </c>
      <c r="D9" s="2">
        <v>16</v>
      </c>
      <c r="E9" s="2">
        <v>20</v>
      </c>
      <c r="F9" s="2">
        <v>18</v>
      </c>
      <c r="G9" s="2">
        <f t="shared" si="0"/>
        <v>59</v>
      </c>
    </row>
    <row r="10" spans="1:7" ht="15.75" x14ac:dyDescent="0.25">
      <c r="A10" s="2">
        <v>5</v>
      </c>
      <c r="B10" s="19" t="s">
        <v>59</v>
      </c>
      <c r="C10" s="2">
        <v>4</v>
      </c>
      <c r="D10" s="2">
        <v>10</v>
      </c>
      <c r="E10" s="2">
        <v>13</v>
      </c>
      <c r="F10" s="2">
        <v>12</v>
      </c>
      <c r="G10" s="2">
        <f t="shared" si="0"/>
        <v>39</v>
      </c>
    </row>
    <row r="11" spans="1:7" ht="15.75" x14ac:dyDescent="0.25">
      <c r="A11" s="2">
        <v>6</v>
      </c>
      <c r="B11" s="19" t="s">
        <v>60</v>
      </c>
      <c r="C11" s="2">
        <v>10</v>
      </c>
      <c r="D11" s="2">
        <v>17</v>
      </c>
      <c r="E11" s="2">
        <v>14</v>
      </c>
      <c r="F11" s="2">
        <v>14</v>
      </c>
      <c r="G11" s="2">
        <f t="shared" si="0"/>
        <v>55</v>
      </c>
    </row>
    <row r="12" spans="1:7" ht="15.75" x14ac:dyDescent="0.25">
      <c r="A12" s="2">
        <v>7</v>
      </c>
      <c r="B12" s="21" t="s">
        <v>61</v>
      </c>
      <c r="C12" s="2">
        <v>6</v>
      </c>
      <c r="D12" s="2">
        <v>14</v>
      </c>
      <c r="E12" s="2">
        <v>14</v>
      </c>
      <c r="F12" s="2">
        <v>17</v>
      </c>
      <c r="G12" s="2">
        <f t="shared" si="0"/>
        <v>51</v>
      </c>
    </row>
    <row r="13" spans="1:7" ht="15.75" x14ac:dyDescent="0.25">
      <c r="A13" s="2">
        <v>8</v>
      </c>
      <c r="B13" s="19" t="s">
        <v>62</v>
      </c>
      <c r="C13" s="2">
        <v>5</v>
      </c>
      <c r="D13" s="2">
        <v>17</v>
      </c>
      <c r="E13" s="2">
        <v>10</v>
      </c>
      <c r="F13" s="2">
        <v>17</v>
      </c>
      <c r="G13" s="2">
        <f t="shared" si="0"/>
        <v>49</v>
      </c>
    </row>
    <row r="14" spans="1:7" ht="15.75" x14ac:dyDescent="0.25">
      <c r="A14" s="2">
        <v>9</v>
      </c>
      <c r="B14" s="19" t="s">
        <v>63</v>
      </c>
      <c r="C14" s="2">
        <v>5</v>
      </c>
      <c r="D14" s="2">
        <v>2</v>
      </c>
      <c r="E14" s="2">
        <v>0</v>
      </c>
      <c r="F14" s="2">
        <v>5</v>
      </c>
      <c r="G14" s="2">
        <f>F14+D14+C14</f>
        <v>12</v>
      </c>
    </row>
    <row r="15" spans="1:7" ht="15.75" x14ac:dyDescent="0.25">
      <c r="A15" s="2">
        <v>10</v>
      </c>
      <c r="B15" s="19" t="s">
        <v>64</v>
      </c>
      <c r="C15" s="2">
        <v>6</v>
      </c>
      <c r="D15" s="2">
        <v>20</v>
      </c>
      <c r="E15" s="2">
        <v>18</v>
      </c>
      <c r="F15" s="2">
        <v>19</v>
      </c>
      <c r="G15" s="2">
        <f t="shared" ref="G15:G24" si="1">F15+E15+D15+C15</f>
        <v>63</v>
      </c>
    </row>
    <row r="16" spans="1:7" ht="15.75" x14ac:dyDescent="0.25">
      <c r="A16" s="2">
        <v>11</v>
      </c>
      <c r="B16" s="19" t="s">
        <v>65</v>
      </c>
      <c r="C16" s="2">
        <v>5</v>
      </c>
      <c r="D16" s="2">
        <v>18</v>
      </c>
      <c r="E16" s="2">
        <v>10</v>
      </c>
      <c r="F16" s="2">
        <v>13</v>
      </c>
      <c r="G16" s="2">
        <f t="shared" si="1"/>
        <v>46</v>
      </c>
    </row>
    <row r="17" spans="1:7" ht="15.75" x14ac:dyDescent="0.25">
      <c r="A17" s="2">
        <v>12</v>
      </c>
      <c r="B17" s="19" t="s">
        <v>66</v>
      </c>
      <c r="C17" s="2">
        <v>4</v>
      </c>
      <c r="D17" s="2">
        <v>12</v>
      </c>
      <c r="E17" s="2">
        <v>12</v>
      </c>
      <c r="F17" s="2">
        <v>5</v>
      </c>
      <c r="G17" s="2">
        <f t="shared" si="1"/>
        <v>33</v>
      </c>
    </row>
    <row r="18" spans="1:7" ht="15.75" x14ac:dyDescent="0.25">
      <c r="A18" s="2">
        <v>13</v>
      </c>
      <c r="B18" s="19" t="s">
        <v>67</v>
      </c>
      <c r="C18" s="2">
        <v>2</v>
      </c>
      <c r="D18" s="2">
        <v>15</v>
      </c>
      <c r="E18" s="2">
        <v>8</v>
      </c>
      <c r="F18" s="2">
        <v>12</v>
      </c>
      <c r="G18" s="2">
        <f t="shared" si="1"/>
        <v>37</v>
      </c>
    </row>
    <row r="19" spans="1:7" ht="15.75" x14ac:dyDescent="0.25">
      <c r="A19" s="2">
        <v>14</v>
      </c>
      <c r="B19" s="19" t="s">
        <v>68</v>
      </c>
      <c r="C19" s="2">
        <v>5</v>
      </c>
      <c r="D19" s="2">
        <v>17</v>
      </c>
      <c r="E19" s="2">
        <v>9</v>
      </c>
      <c r="F19" s="2">
        <v>17</v>
      </c>
      <c r="G19" s="2">
        <f t="shared" si="1"/>
        <v>48</v>
      </c>
    </row>
    <row r="20" spans="1:7" ht="15.75" x14ac:dyDescent="0.25">
      <c r="A20" s="2">
        <v>15</v>
      </c>
      <c r="B20" s="19" t="s">
        <v>69</v>
      </c>
      <c r="C20" s="2">
        <v>8</v>
      </c>
      <c r="D20" s="2">
        <v>19</v>
      </c>
      <c r="E20" s="2">
        <v>10</v>
      </c>
      <c r="F20" s="2">
        <v>19</v>
      </c>
      <c r="G20" s="2">
        <f t="shared" si="1"/>
        <v>56</v>
      </c>
    </row>
    <row r="21" spans="1:7" ht="15.75" x14ac:dyDescent="0.25">
      <c r="A21" s="2">
        <v>16</v>
      </c>
      <c r="B21" s="19" t="s">
        <v>70</v>
      </c>
      <c r="C21" s="2">
        <v>3</v>
      </c>
      <c r="D21" s="2">
        <v>14</v>
      </c>
      <c r="E21" s="2">
        <v>9</v>
      </c>
      <c r="F21" s="2">
        <v>9</v>
      </c>
      <c r="G21" s="2">
        <f t="shared" si="1"/>
        <v>35</v>
      </c>
    </row>
    <row r="22" spans="1:7" ht="15.75" x14ac:dyDescent="0.25">
      <c r="A22" s="2">
        <v>17</v>
      </c>
      <c r="B22" s="19" t="s">
        <v>71</v>
      </c>
      <c r="C22" s="2">
        <v>2</v>
      </c>
      <c r="D22" s="2">
        <v>14</v>
      </c>
      <c r="E22" s="2">
        <v>15</v>
      </c>
      <c r="F22" s="2">
        <v>16</v>
      </c>
      <c r="G22" s="2">
        <f t="shared" si="1"/>
        <v>47</v>
      </c>
    </row>
    <row r="23" spans="1:7" ht="15.75" x14ac:dyDescent="0.25">
      <c r="A23" s="2">
        <v>18</v>
      </c>
      <c r="B23" s="19" t="s">
        <v>72</v>
      </c>
      <c r="C23" s="2">
        <v>2</v>
      </c>
      <c r="D23" s="2">
        <v>14</v>
      </c>
      <c r="E23" s="2">
        <v>14</v>
      </c>
      <c r="F23" s="2">
        <v>13</v>
      </c>
      <c r="G23" s="2">
        <f t="shared" si="1"/>
        <v>43</v>
      </c>
    </row>
    <row r="24" spans="1:7" ht="15.75" x14ac:dyDescent="0.25">
      <c r="A24" s="2">
        <v>19</v>
      </c>
      <c r="B24" s="20" t="s">
        <v>73</v>
      </c>
      <c r="C24" s="2">
        <v>5</v>
      </c>
      <c r="D24" s="2">
        <v>18</v>
      </c>
      <c r="E24" s="2">
        <v>15</v>
      </c>
      <c r="F24" s="2">
        <v>14</v>
      </c>
      <c r="G24" s="2">
        <f t="shared" si="1"/>
        <v>52</v>
      </c>
    </row>
    <row r="25" spans="1:7" ht="15.75" x14ac:dyDescent="0.25">
      <c r="A25" s="2">
        <v>20</v>
      </c>
      <c r="B25" s="19" t="s">
        <v>74</v>
      </c>
      <c r="C25" s="2">
        <v>3</v>
      </c>
      <c r="D25" s="2">
        <v>11</v>
      </c>
      <c r="E25" s="2">
        <v>4</v>
      </c>
      <c r="F25" s="2">
        <v>4</v>
      </c>
      <c r="G25" s="2">
        <f>+F25+E25+D25+C25</f>
        <v>22</v>
      </c>
    </row>
    <row r="26" spans="1:7" ht="15.75" x14ac:dyDescent="0.25">
      <c r="A26" s="2">
        <v>21</v>
      </c>
      <c r="B26" s="19" t="s">
        <v>75</v>
      </c>
      <c r="C26" s="2">
        <v>4</v>
      </c>
      <c r="D26" s="2">
        <v>9</v>
      </c>
      <c r="E26" s="2">
        <v>10</v>
      </c>
      <c r="F26" s="2">
        <v>11</v>
      </c>
      <c r="G26" s="2">
        <f>F26+E26+D26+C26</f>
        <v>34</v>
      </c>
    </row>
    <row r="27" spans="1:7" ht="15.75" x14ac:dyDescent="0.25">
      <c r="A27" s="2">
        <v>22</v>
      </c>
      <c r="B27" s="21" t="s">
        <v>76</v>
      </c>
      <c r="C27" s="2">
        <v>4</v>
      </c>
      <c r="D27" s="2">
        <v>12</v>
      </c>
      <c r="E27" s="2">
        <v>8</v>
      </c>
      <c r="F27" s="2">
        <v>9</v>
      </c>
      <c r="G27" s="2">
        <f>F27+E27+D27+C27</f>
        <v>33</v>
      </c>
    </row>
    <row r="28" spans="1:7" ht="15.75" x14ac:dyDescent="0.25">
      <c r="A28" s="2">
        <v>23</v>
      </c>
      <c r="B28" s="19" t="s">
        <v>77</v>
      </c>
      <c r="C28" s="2">
        <v>10</v>
      </c>
      <c r="D28" s="2">
        <v>19</v>
      </c>
      <c r="E28" s="2">
        <v>16</v>
      </c>
      <c r="F28" s="2">
        <v>23</v>
      </c>
      <c r="G28" s="2">
        <f>F28+E28+D28+C28</f>
        <v>68</v>
      </c>
    </row>
    <row r="29" spans="1:7" ht="15.75" x14ac:dyDescent="0.25">
      <c r="A29" s="2">
        <v>24</v>
      </c>
      <c r="B29" s="19" t="s">
        <v>78</v>
      </c>
      <c r="C29" s="2">
        <v>6</v>
      </c>
      <c r="D29" s="2">
        <v>18</v>
      </c>
      <c r="E29" s="2">
        <v>12</v>
      </c>
      <c r="F29" s="2">
        <v>16</v>
      </c>
      <c r="G29" s="2">
        <f>F29+E29+D29+C29</f>
        <v>52</v>
      </c>
    </row>
    <row r="30" spans="1:7" ht="15.75" x14ac:dyDescent="0.25">
      <c r="A30" s="2">
        <v>25</v>
      </c>
      <c r="B30" s="20" t="s">
        <v>79</v>
      </c>
      <c r="C30" s="2">
        <v>0</v>
      </c>
      <c r="D30" s="2">
        <v>7</v>
      </c>
      <c r="E30" s="2">
        <v>12</v>
      </c>
      <c r="F30" s="2">
        <v>7</v>
      </c>
      <c r="G30" s="2">
        <f>F30+E30+D30+C30</f>
        <v>26</v>
      </c>
    </row>
    <row r="31" spans="1:7" ht="15.75" x14ac:dyDescent="0.25">
      <c r="A31" s="2">
        <v>26</v>
      </c>
      <c r="B31" s="19" t="s">
        <v>80</v>
      </c>
      <c r="C31" s="2">
        <v>5</v>
      </c>
      <c r="D31" s="2">
        <v>18</v>
      </c>
      <c r="E31" s="2">
        <v>16</v>
      </c>
      <c r="F31" s="2">
        <v>16</v>
      </c>
      <c r="G31" s="2">
        <f>F31+E31+D31+G32</f>
        <v>105</v>
      </c>
    </row>
    <row r="32" spans="1:7" ht="15.75" x14ac:dyDescent="0.25">
      <c r="A32" s="2">
        <v>27</v>
      </c>
      <c r="B32" s="19" t="s">
        <v>81</v>
      </c>
      <c r="C32" s="2">
        <v>6</v>
      </c>
      <c r="D32" s="2">
        <v>20</v>
      </c>
      <c r="E32" s="2">
        <v>12</v>
      </c>
      <c r="F32" s="2">
        <v>17</v>
      </c>
      <c r="G32" s="2">
        <f t="shared" ref="G32:G39" si="2">F32+E32+D32+C32</f>
        <v>55</v>
      </c>
    </row>
    <row r="33" spans="1:7" ht="15.75" x14ac:dyDescent="0.25">
      <c r="A33" s="2">
        <v>28</v>
      </c>
      <c r="B33" s="19" t="s">
        <v>82</v>
      </c>
      <c r="C33" s="2">
        <v>7</v>
      </c>
      <c r="D33" s="2">
        <v>13</v>
      </c>
      <c r="E33" s="2">
        <v>11</v>
      </c>
      <c r="F33" s="2">
        <v>14</v>
      </c>
      <c r="G33" s="2">
        <f t="shared" si="2"/>
        <v>45</v>
      </c>
    </row>
    <row r="34" spans="1:7" ht="15.75" x14ac:dyDescent="0.25">
      <c r="A34" s="2">
        <v>29</v>
      </c>
      <c r="B34" s="19" t="s">
        <v>83</v>
      </c>
      <c r="C34" s="2">
        <v>5</v>
      </c>
      <c r="D34" s="2">
        <v>15</v>
      </c>
      <c r="E34" s="2">
        <v>11</v>
      </c>
      <c r="F34" s="2">
        <v>15</v>
      </c>
      <c r="G34" s="2">
        <f t="shared" si="2"/>
        <v>46</v>
      </c>
    </row>
    <row r="35" spans="1:7" ht="15.75" x14ac:dyDescent="0.25">
      <c r="A35" s="2">
        <v>30</v>
      </c>
      <c r="B35" s="19" t="s">
        <v>84</v>
      </c>
      <c r="C35" s="2">
        <v>5</v>
      </c>
      <c r="D35" s="2">
        <v>21</v>
      </c>
      <c r="E35" s="2">
        <v>14</v>
      </c>
      <c r="F35" s="2">
        <v>15</v>
      </c>
      <c r="G35" s="2">
        <f t="shared" si="2"/>
        <v>55</v>
      </c>
    </row>
    <row r="36" spans="1:7" ht="15.75" x14ac:dyDescent="0.25">
      <c r="A36" s="2">
        <v>31</v>
      </c>
      <c r="B36" s="19" t="s">
        <v>85</v>
      </c>
      <c r="C36" s="2">
        <v>8</v>
      </c>
      <c r="D36" s="2">
        <v>20</v>
      </c>
      <c r="E36" s="2">
        <v>18</v>
      </c>
      <c r="F36" s="2">
        <v>21</v>
      </c>
      <c r="G36" s="2">
        <f t="shared" si="2"/>
        <v>67</v>
      </c>
    </row>
    <row r="37" spans="1:7" ht="15.75" x14ac:dyDescent="0.25">
      <c r="A37" s="2">
        <v>32</v>
      </c>
      <c r="B37" s="19" t="s">
        <v>86</v>
      </c>
      <c r="C37" s="2">
        <v>5</v>
      </c>
      <c r="D37" s="2">
        <v>9</v>
      </c>
      <c r="E37" s="2">
        <v>9</v>
      </c>
      <c r="F37" s="2">
        <v>4</v>
      </c>
      <c r="G37" s="2">
        <f t="shared" si="2"/>
        <v>27</v>
      </c>
    </row>
    <row r="38" spans="1:7" ht="15.75" x14ac:dyDescent="0.25">
      <c r="A38" s="2">
        <v>33</v>
      </c>
      <c r="B38" s="19" t="s">
        <v>87</v>
      </c>
      <c r="C38" s="2">
        <v>1</v>
      </c>
      <c r="D38" s="2">
        <v>5</v>
      </c>
      <c r="E38" s="2">
        <v>7</v>
      </c>
      <c r="F38" s="2">
        <v>22</v>
      </c>
      <c r="G38" s="2">
        <f t="shared" si="2"/>
        <v>35</v>
      </c>
    </row>
    <row r="39" spans="1:7" ht="15.75" x14ac:dyDescent="0.25">
      <c r="A39" s="2">
        <v>34</v>
      </c>
      <c r="B39" s="19" t="s">
        <v>88</v>
      </c>
      <c r="C39" s="2">
        <v>7</v>
      </c>
      <c r="D39" s="2">
        <v>15</v>
      </c>
      <c r="E39" s="2">
        <v>17</v>
      </c>
      <c r="F39" s="2">
        <v>21</v>
      </c>
      <c r="G39" s="2">
        <f t="shared" si="2"/>
        <v>60</v>
      </c>
    </row>
    <row r="40" spans="1:7" ht="15.75" x14ac:dyDescent="0.25">
      <c r="A40" s="2">
        <v>35</v>
      </c>
      <c r="B40" s="19" t="s">
        <v>114</v>
      </c>
      <c r="C40" s="14"/>
      <c r="D40" s="2"/>
      <c r="E40" s="2"/>
      <c r="F40" s="27">
        <v>18</v>
      </c>
      <c r="G40" s="2">
        <f>F40</f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G25" sqref="G25"/>
    </sheetView>
  </sheetViews>
  <sheetFormatPr defaultRowHeight="15" x14ac:dyDescent="0.25"/>
  <cols>
    <col min="1" max="1" width="5.85546875" style="25" customWidth="1"/>
    <col min="2" max="2" width="22.5703125" customWidth="1"/>
    <col min="3" max="3" width="21" customWidth="1"/>
    <col min="4" max="4" width="20.5703125" customWidth="1"/>
    <col min="5" max="5" width="20" customWidth="1"/>
    <col min="6" max="6" width="18.28515625" customWidth="1"/>
    <col min="7" max="7" width="18.85546875" customWidth="1"/>
  </cols>
  <sheetData>
    <row r="1" spans="1:7" ht="21" x14ac:dyDescent="0.35">
      <c r="B1" s="13"/>
      <c r="C1" s="1" t="s">
        <v>0</v>
      </c>
      <c r="D1" s="13"/>
      <c r="E1" s="13"/>
      <c r="F1" s="13"/>
      <c r="G1" s="13"/>
    </row>
    <row r="2" spans="1:7" ht="21" x14ac:dyDescent="0.35">
      <c r="B2" s="13"/>
      <c r="C2" s="18" t="s">
        <v>109</v>
      </c>
      <c r="D2" s="13"/>
      <c r="E2" s="13"/>
      <c r="F2" s="13"/>
      <c r="G2" s="13"/>
    </row>
    <row r="3" spans="1:7" x14ac:dyDescent="0.25">
      <c r="A3" s="3" t="s">
        <v>1</v>
      </c>
      <c r="B3" s="4" t="s">
        <v>2</v>
      </c>
      <c r="C3" s="4" t="s">
        <v>3</v>
      </c>
      <c r="D3" s="4" t="s">
        <v>3</v>
      </c>
      <c r="E3" s="4" t="s">
        <v>3</v>
      </c>
      <c r="F3" s="4" t="s">
        <v>3</v>
      </c>
      <c r="G3" s="3" t="s">
        <v>4</v>
      </c>
    </row>
    <row r="4" spans="1:7" x14ac:dyDescent="0.25">
      <c r="A4" s="3"/>
      <c r="B4" s="4"/>
      <c r="C4" s="22" t="s">
        <v>5</v>
      </c>
      <c r="D4" s="22" t="s">
        <v>106</v>
      </c>
      <c r="E4" s="22" t="s">
        <v>54</v>
      </c>
      <c r="F4" s="22" t="s">
        <v>107</v>
      </c>
      <c r="G4" s="7" t="s">
        <v>108</v>
      </c>
    </row>
    <row r="5" spans="1:7" x14ac:dyDescent="0.25">
      <c r="A5" s="23"/>
      <c r="B5" s="24"/>
      <c r="C5" s="3" t="s">
        <v>7</v>
      </c>
      <c r="D5" s="3" t="s">
        <v>8</v>
      </c>
      <c r="E5" s="3" t="s">
        <v>9</v>
      </c>
      <c r="F5" s="3" t="s">
        <v>10</v>
      </c>
      <c r="G5" s="3"/>
    </row>
    <row r="6" spans="1:7" x14ac:dyDescent="0.25">
      <c r="A6" s="2">
        <v>1</v>
      </c>
      <c r="B6" s="26" t="s">
        <v>91</v>
      </c>
      <c r="C6" s="2">
        <v>5</v>
      </c>
      <c r="D6" s="2">
        <v>2</v>
      </c>
      <c r="E6" s="2">
        <v>2</v>
      </c>
      <c r="F6" s="2">
        <v>5</v>
      </c>
      <c r="G6" s="2">
        <f>C6+D6+E6+F6</f>
        <v>14</v>
      </c>
    </row>
    <row r="7" spans="1:7" x14ac:dyDescent="0.25">
      <c r="A7" s="2">
        <v>2</v>
      </c>
      <c r="B7" s="26" t="s">
        <v>92</v>
      </c>
      <c r="C7" s="2">
        <v>9</v>
      </c>
      <c r="D7" s="2">
        <v>11</v>
      </c>
      <c r="E7" s="2">
        <v>11</v>
      </c>
      <c r="F7" s="2">
        <v>10</v>
      </c>
      <c r="G7" s="2">
        <f>C7+D7+E7+F7</f>
        <v>41</v>
      </c>
    </row>
    <row r="8" spans="1:7" x14ac:dyDescent="0.25">
      <c r="A8" s="2">
        <v>3</v>
      </c>
      <c r="B8" s="15" t="s">
        <v>93</v>
      </c>
      <c r="C8" s="2">
        <v>9</v>
      </c>
      <c r="D8" s="2">
        <v>8</v>
      </c>
      <c r="E8" s="2">
        <v>8</v>
      </c>
      <c r="F8" s="2">
        <v>2</v>
      </c>
      <c r="G8" s="2">
        <f>C8+D8+E8+F8</f>
        <v>27</v>
      </c>
    </row>
    <row r="9" spans="1:7" x14ac:dyDescent="0.25">
      <c r="A9" s="2">
        <v>5</v>
      </c>
      <c r="B9" s="26" t="s">
        <v>94</v>
      </c>
      <c r="C9" s="2">
        <v>11</v>
      </c>
      <c r="D9" s="2">
        <v>10</v>
      </c>
      <c r="E9" s="2">
        <v>10</v>
      </c>
      <c r="F9" s="2">
        <v>11</v>
      </c>
      <c r="G9" s="2">
        <f>C9+D9+E9+F9</f>
        <v>42</v>
      </c>
    </row>
    <row r="10" spans="1:7" x14ac:dyDescent="0.25">
      <c r="A10" s="2">
        <v>6</v>
      </c>
      <c r="B10" s="15" t="s">
        <v>95</v>
      </c>
      <c r="C10" s="2">
        <v>11</v>
      </c>
      <c r="D10" s="2">
        <v>4</v>
      </c>
      <c r="E10" s="2">
        <v>4</v>
      </c>
      <c r="F10" s="2">
        <v>0</v>
      </c>
      <c r="G10" s="2">
        <f>C10+D10+H10</f>
        <v>15</v>
      </c>
    </row>
    <row r="11" spans="1:7" x14ac:dyDescent="0.25">
      <c r="A11" s="2">
        <v>7</v>
      </c>
      <c r="B11" s="26" t="s">
        <v>96</v>
      </c>
      <c r="C11" s="2">
        <v>6</v>
      </c>
      <c r="D11" s="2">
        <v>2</v>
      </c>
      <c r="E11" s="2">
        <v>2</v>
      </c>
      <c r="F11" s="2">
        <v>2</v>
      </c>
      <c r="G11" s="2">
        <f t="shared" ref="G11:G20" si="0">C11+D11+E11+F11</f>
        <v>12</v>
      </c>
    </row>
    <row r="12" spans="1:7" x14ac:dyDescent="0.25">
      <c r="A12" s="2">
        <v>8</v>
      </c>
      <c r="B12" s="26" t="s">
        <v>97</v>
      </c>
      <c r="C12" s="2">
        <v>9</v>
      </c>
      <c r="D12" s="2">
        <v>15</v>
      </c>
      <c r="E12" s="2">
        <v>15</v>
      </c>
      <c r="F12" s="2">
        <v>6</v>
      </c>
      <c r="G12" s="2">
        <f t="shared" si="0"/>
        <v>45</v>
      </c>
    </row>
    <row r="13" spans="1:7" x14ac:dyDescent="0.25">
      <c r="A13" s="2">
        <v>10</v>
      </c>
      <c r="B13" s="26" t="s">
        <v>98</v>
      </c>
      <c r="C13" s="2">
        <v>13</v>
      </c>
      <c r="D13" s="2">
        <v>5</v>
      </c>
      <c r="E13" s="2">
        <v>5</v>
      </c>
      <c r="F13" s="2">
        <v>8</v>
      </c>
      <c r="G13" s="2">
        <f t="shared" si="0"/>
        <v>31</v>
      </c>
    </row>
    <row r="14" spans="1:7" x14ac:dyDescent="0.25">
      <c r="A14" s="2">
        <v>11</v>
      </c>
      <c r="B14" s="26" t="s">
        <v>99</v>
      </c>
      <c r="C14" s="2">
        <v>15</v>
      </c>
      <c r="D14" s="2">
        <v>11</v>
      </c>
      <c r="E14" s="2">
        <v>11</v>
      </c>
      <c r="F14" s="2">
        <v>8</v>
      </c>
      <c r="G14" s="2">
        <f t="shared" si="0"/>
        <v>45</v>
      </c>
    </row>
    <row r="15" spans="1:7" x14ac:dyDescent="0.25">
      <c r="A15" s="2">
        <v>12</v>
      </c>
      <c r="B15" s="26" t="s">
        <v>100</v>
      </c>
      <c r="C15" s="2">
        <v>9</v>
      </c>
      <c r="D15" s="2">
        <v>4</v>
      </c>
      <c r="E15" s="2">
        <v>4</v>
      </c>
      <c r="F15" s="2">
        <v>2</v>
      </c>
      <c r="G15" s="2">
        <f t="shared" si="0"/>
        <v>19</v>
      </c>
    </row>
    <row r="16" spans="1:7" x14ac:dyDescent="0.25">
      <c r="A16" s="2">
        <v>13</v>
      </c>
      <c r="B16" s="26" t="s">
        <v>101</v>
      </c>
      <c r="C16" s="2">
        <v>12</v>
      </c>
      <c r="D16" s="2">
        <v>11</v>
      </c>
      <c r="E16" s="2">
        <v>11</v>
      </c>
      <c r="F16" s="2">
        <v>7</v>
      </c>
      <c r="G16" s="2">
        <f t="shared" si="0"/>
        <v>41</v>
      </c>
    </row>
    <row r="17" spans="1:7" x14ac:dyDescent="0.25">
      <c r="A17" s="2">
        <v>14</v>
      </c>
      <c r="B17" s="26" t="s">
        <v>102</v>
      </c>
      <c r="C17" s="2">
        <v>8</v>
      </c>
      <c r="D17" s="2">
        <v>10</v>
      </c>
      <c r="E17" s="2">
        <v>10</v>
      </c>
      <c r="F17" s="2">
        <v>7</v>
      </c>
      <c r="G17" s="2">
        <f t="shared" si="0"/>
        <v>35</v>
      </c>
    </row>
    <row r="18" spans="1:7" x14ac:dyDescent="0.25">
      <c r="A18" s="2">
        <v>15</v>
      </c>
      <c r="B18" s="26" t="s">
        <v>103</v>
      </c>
      <c r="C18" s="2">
        <v>6</v>
      </c>
      <c r="D18" s="2">
        <v>0</v>
      </c>
      <c r="E18" s="2">
        <v>0</v>
      </c>
      <c r="F18" s="2">
        <v>8</v>
      </c>
      <c r="G18" s="2">
        <f t="shared" si="0"/>
        <v>14</v>
      </c>
    </row>
    <row r="19" spans="1:7" x14ac:dyDescent="0.25">
      <c r="A19" s="2">
        <v>16</v>
      </c>
      <c r="B19" s="26" t="s">
        <v>104</v>
      </c>
      <c r="C19" s="2">
        <v>3</v>
      </c>
      <c r="D19" s="2">
        <v>12</v>
      </c>
      <c r="E19" s="2">
        <v>12</v>
      </c>
      <c r="F19" s="2">
        <v>7</v>
      </c>
      <c r="G19" s="2">
        <f t="shared" si="0"/>
        <v>34</v>
      </c>
    </row>
    <row r="20" spans="1:7" x14ac:dyDescent="0.25">
      <c r="A20" s="2">
        <v>17</v>
      </c>
      <c r="B20" s="15" t="s">
        <v>105</v>
      </c>
      <c r="C20" s="2">
        <v>12</v>
      </c>
      <c r="D20" s="2">
        <v>14</v>
      </c>
      <c r="E20" s="2">
        <v>14</v>
      </c>
      <c r="F20" s="2">
        <v>13</v>
      </c>
      <c r="G20" s="2">
        <f t="shared" si="0"/>
        <v>53</v>
      </c>
    </row>
    <row r="21" spans="1:7" x14ac:dyDescent="0.25">
      <c r="A21" s="2">
        <v>16</v>
      </c>
      <c r="B21" s="14" t="s">
        <v>110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10" workbookViewId="0">
      <selection activeCell="G8" sqref="G8"/>
    </sheetView>
  </sheetViews>
  <sheetFormatPr defaultRowHeight="15" x14ac:dyDescent="0.25"/>
  <cols>
    <col min="1" max="1" width="7.5703125" customWidth="1"/>
    <col min="2" max="2" width="22.85546875" customWidth="1"/>
    <col min="3" max="3" width="21" style="68" customWidth="1"/>
    <col min="4" max="4" width="19.7109375" style="25" customWidth="1"/>
    <col min="5" max="5" width="20" style="25" customWidth="1"/>
    <col min="6" max="6" width="19" style="25" customWidth="1"/>
    <col min="7" max="7" width="20.28515625" style="25" customWidth="1"/>
  </cols>
  <sheetData>
    <row r="1" spans="1:7" ht="21" x14ac:dyDescent="0.35">
      <c r="A1" s="25"/>
      <c r="B1" s="13"/>
      <c r="C1" s="65" t="s">
        <v>0</v>
      </c>
    </row>
    <row r="2" spans="1:7" ht="21" x14ac:dyDescent="0.35">
      <c r="A2" s="25"/>
      <c r="B2" s="13"/>
      <c r="C2" s="65" t="s">
        <v>116</v>
      </c>
    </row>
    <row r="3" spans="1:7" x14ac:dyDescent="0.25">
      <c r="A3" s="3" t="s">
        <v>1</v>
      </c>
      <c r="B3" s="4" t="s">
        <v>2</v>
      </c>
      <c r="C3" s="66" t="s">
        <v>3</v>
      </c>
      <c r="D3" s="3" t="s">
        <v>3</v>
      </c>
      <c r="E3" s="3" t="s">
        <v>3</v>
      </c>
      <c r="F3" s="3" t="s">
        <v>3</v>
      </c>
      <c r="G3" s="3" t="s">
        <v>4</v>
      </c>
    </row>
    <row r="4" spans="1:7" x14ac:dyDescent="0.25">
      <c r="A4" s="3"/>
      <c r="B4" s="4"/>
      <c r="C4" s="67" t="s">
        <v>397</v>
      </c>
      <c r="D4" s="7" t="s">
        <v>605</v>
      </c>
      <c r="E4" s="7" t="s">
        <v>54</v>
      </c>
      <c r="F4" s="7" t="s">
        <v>133</v>
      </c>
      <c r="G4" s="7" t="s">
        <v>108</v>
      </c>
    </row>
    <row r="5" spans="1:7" x14ac:dyDescent="0.25">
      <c r="A5" s="2"/>
      <c r="B5" s="24"/>
      <c r="C5" s="3" t="s">
        <v>7</v>
      </c>
      <c r="D5" s="3" t="s">
        <v>8</v>
      </c>
      <c r="E5" s="3" t="s">
        <v>9</v>
      </c>
      <c r="F5" s="3" t="s">
        <v>10</v>
      </c>
      <c r="G5" s="3"/>
    </row>
    <row r="6" spans="1:7" x14ac:dyDescent="0.25">
      <c r="A6" s="2">
        <v>1</v>
      </c>
      <c r="B6" s="26" t="s">
        <v>117</v>
      </c>
      <c r="C6" s="2">
        <v>16</v>
      </c>
      <c r="D6" s="2">
        <v>19</v>
      </c>
      <c r="E6" s="2">
        <v>12</v>
      </c>
      <c r="F6" s="2">
        <v>14</v>
      </c>
      <c r="G6" s="2">
        <f t="shared" ref="G6:G12" si="0">F6+E6+D6+C6</f>
        <v>61</v>
      </c>
    </row>
    <row r="7" spans="1:7" s="13" customFormat="1" x14ac:dyDescent="0.25">
      <c r="A7" s="2">
        <v>2</v>
      </c>
      <c r="B7" s="69" t="s">
        <v>606</v>
      </c>
      <c r="C7" s="2">
        <v>13</v>
      </c>
      <c r="D7" s="2">
        <v>19</v>
      </c>
      <c r="E7" s="2">
        <v>12</v>
      </c>
      <c r="F7" s="2">
        <v>13</v>
      </c>
      <c r="G7" s="2">
        <f t="shared" si="0"/>
        <v>57</v>
      </c>
    </row>
    <row r="8" spans="1:7" s="13" customFormat="1" x14ac:dyDescent="0.25">
      <c r="A8" s="2">
        <v>3</v>
      </c>
      <c r="B8" s="15" t="s">
        <v>607</v>
      </c>
      <c r="C8" s="2">
        <v>9</v>
      </c>
      <c r="D8" s="2">
        <v>19</v>
      </c>
      <c r="E8" s="2">
        <v>9</v>
      </c>
      <c r="F8" s="2">
        <v>9</v>
      </c>
      <c r="G8" s="2">
        <f t="shared" si="0"/>
        <v>46</v>
      </c>
    </row>
    <row r="9" spans="1:7" x14ac:dyDescent="0.25">
      <c r="A9" s="2">
        <v>4</v>
      </c>
      <c r="B9" s="28" t="s">
        <v>118</v>
      </c>
      <c r="C9" s="2">
        <v>12</v>
      </c>
      <c r="D9" s="2">
        <v>19</v>
      </c>
      <c r="E9" s="2">
        <v>11</v>
      </c>
      <c r="F9" s="2">
        <v>13</v>
      </c>
      <c r="G9" s="2">
        <f t="shared" si="0"/>
        <v>55</v>
      </c>
    </row>
    <row r="10" spans="1:7" x14ac:dyDescent="0.25">
      <c r="A10" s="2">
        <v>5</v>
      </c>
      <c r="B10" s="26" t="s">
        <v>119</v>
      </c>
      <c r="C10" s="2">
        <v>13</v>
      </c>
      <c r="D10" s="2">
        <v>46</v>
      </c>
      <c r="E10" s="2">
        <v>7</v>
      </c>
      <c r="F10" s="2">
        <v>14</v>
      </c>
      <c r="G10" s="2">
        <f t="shared" si="0"/>
        <v>80</v>
      </c>
    </row>
    <row r="11" spans="1:7" x14ac:dyDescent="0.25">
      <c r="A11" s="2">
        <v>6</v>
      </c>
      <c r="B11" s="26" t="s">
        <v>120</v>
      </c>
      <c r="C11" s="2">
        <v>14</v>
      </c>
      <c r="D11" s="2">
        <v>19</v>
      </c>
      <c r="E11" s="2">
        <v>11</v>
      </c>
      <c r="F11" s="2">
        <v>14</v>
      </c>
      <c r="G11" s="2">
        <f t="shared" si="0"/>
        <v>58</v>
      </c>
    </row>
    <row r="12" spans="1:7" x14ac:dyDescent="0.25">
      <c r="A12" s="2">
        <v>7</v>
      </c>
      <c r="B12" s="26" t="s">
        <v>121</v>
      </c>
      <c r="C12" s="2">
        <v>9</v>
      </c>
      <c r="D12" s="2">
        <v>16</v>
      </c>
      <c r="E12" s="2">
        <v>13</v>
      </c>
      <c r="F12" s="2">
        <v>16</v>
      </c>
      <c r="G12" s="2">
        <f t="shared" si="0"/>
        <v>54</v>
      </c>
    </row>
    <row r="13" spans="1:7" x14ac:dyDescent="0.25">
      <c r="A13" s="2">
        <v>8</v>
      </c>
      <c r="B13" s="26" t="s">
        <v>122</v>
      </c>
      <c r="C13" s="2">
        <v>8</v>
      </c>
      <c r="D13" s="2">
        <v>3</v>
      </c>
      <c r="E13" s="2"/>
      <c r="F13" s="2">
        <v>2</v>
      </c>
      <c r="G13" s="2">
        <f>F13+D13+C13</f>
        <v>13</v>
      </c>
    </row>
    <row r="14" spans="1:7" x14ac:dyDescent="0.25">
      <c r="A14" s="2">
        <v>9</v>
      </c>
      <c r="B14" s="26" t="s">
        <v>123</v>
      </c>
      <c r="C14" s="2">
        <v>14</v>
      </c>
      <c r="D14" s="2">
        <v>19</v>
      </c>
      <c r="E14" s="2">
        <v>11</v>
      </c>
      <c r="F14" s="2">
        <v>14</v>
      </c>
      <c r="G14" s="2">
        <f t="shared" ref="G14:G24" si="1">F14+E14+D14+C14</f>
        <v>58</v>
      </c>
    </row>
    <row r="15" spans="1:7" x14ac:dyDescent="0.25">
      <c r="A15" s="2">
        <v>10</v>
      </c>
      <c r="B15" s="26" t="s">
        <v>124</v>
      </c>
      <c r="C15" s="2">
        <v>13</v>
      </c>
      <c r="D15" s="2">
        <v>18</v>
      </c>
      <c r="E15" s="2">
        <v>10</v>
      </c>
      <c r="F15" s="2">
        <v>14</v>
      </c>
      <c r="G15" s="2">
        <f t="shared" si="1"/>
        <v>55</v>
      </c>
    </row>
    <row r="16" spans="1:7" x14ac:dyDescent="0.25">
      <c r="A16" s="2">
        <v>11</v>
      </c>
      <c r="B16" s="26" t="s">
        <v>125</v>
      </c>
      <c r="C16" s="2">
        <v>13</v>
      </c>
      <c r="D16" s="2">
        <v>19</v>
      </c>
      <c r="E16" s="2">
        <v>10</v>
      </c>
      <c r="F16" s="2">
        <v>13</v>
      </c>
      <c r="G16" s="2">
        <f t="shared" si="1"/>
        <v>55</v>
      </c>
    </row>
    <row r="17" spans="1:7" x14ac:dyDescent="0.25">
      <c r="A17" s="2">
        <v>12</v>
      </c>
      <c r="B17" s="26" t="s">
        <v>126</v>
      </c>
      <c r="C17" s="2">
        <v>13</v>
      </c>
      <c r="D17" s="2">
        <v>18</v>
      </c>
      <c r="E17" s="2">
        <v>11</v>
      </c>
      <c r="F17" s="2">
        <v>13</v>
      </c>
      <c r="G17" s="2">
        <f t="shared" si="1"/>
        <v>55</v>
      </c>
    </row>
    <row r="18" spans="1:7" x14ac:dyDescent="0.25">
      <c r="A18" s="2">
        <v>13</v>
      </c>
      <c r="B18" s="26" t="s">
        <v>127</v>
      </c>
      <c r="C18" s="2">
        <v>16</v>
      </c>
      <c r="D18" s="2">
        <v>18</v>
      </c>
      <c r="E18" s="2">
        <v>11</v>
      </c>
      <c r="F18" s="2">
        <v>16</v>
      </c>
      <c r="G18" s="2">
        <f t="shared" si="1"/>
        <v>61</v>
      </c>
    </row>
    <row r="19" spans="1:7" x14ac:dyDescent="0.25">
      <c r="A19" s="2">
        <v>14</v>
      </c>
      <c r="B19" s="26" t="s">
        <v>128</v>
      </c>
      <c r="C19" s="2">
        <v>6</v>
      </c>
      <c r="D19" s="2">
        <v>11</v>
      </c>
      <c r="E19" s="2">
        <v>4</v>
      </c>
      <c r="F19" s="2">
        <v>7</v>
      </c>
      <c r="G19" s="2">
        <f t="shared" si="1"/>
        <v>28</v>
      </c>
    </row>
    <row r="20" spans="1:7" x14ac:dyDescent="0.25">
      <c r="A20" s="2">
        <v>15</v>
      </c>
      <c r="B20" s="26" t="s">
        <v>129</v>
      </c>
      <c r="C20" s="2">
        <v>12</v>
      </c>
      <c r="D20" s="2">
        <v>9</v>
      </c>
      <c r="E20" s="2">
        <v>4</v>
      </c>
      <c r="F20" s="2">
        <v>13</v>
      </c>
      <c r="G20" s="2">
        <f t="shared" si="1"/>
        <v>38</v>
      </c>
    </row>
    <row r="21" spans="1:7" x14ac:dyDescent="0.25">
      <c r="A21" s="2">
        <v>16</v>
      </c>
      <c r="B21" s="26" t="s">
        <v>130</v>
      </c>
      <c r="C21" s="2">
        <v>9</v>
      </c>
      <c r="D21" s="2">
        <v>8</v>
      </c>
      <c r="E21" s="2">
        <v>9</v>
      </c>
      <c r="F21" s="2">
        <v>11</v>
      </c>
      <c r="G21" s="2">
        <f t="shared" si="1"/>
        <v>37</v>
      </c>
    </row>
    <row r="22" spans="1:7" x14ac:dyDescent="0.25">
      <c r="A22" s="2">
        <v>17</v>
      </c>
      <c r="B22" s="26" t="s">
        <v>131</v>
      </c>
      <c r="C22" s="2">
        <v>11</v>
      </c>
      <c r="D22" s="2">
        <v>18</v>
      </c>
      <c r="E22" s="2">
        <v>9</v>
      </c>
      <c r="F22" s="2">
        <v>12</v>
      </c>
      <c r="G22" s="2">
        <f t="shared" si="1"/>
        <v>50</v>
      </c>
    </row>
    <row r="23" spans="1:7" x14ac:dyDescent="0.25">
      <c r="A23" s="2">
        <v>18</v>
      </c>
      <c r="B23" s="26" t="s">
        <v>132</v>
      </c>
      <c r="C23" s="2">
        <v>10</v>
      </c>
      <c r="D23" s="2">
        <v>18</v>
      </c>
      <c r="E23" s="2">
        <v>9</v>
      </c>
      <c r="F23" s="2">
        <v>16</v>
      </c>
      <c r="G23" s="2">
        <f t="shared" si="1"/>
        <v>53</v>
      </c>
    </row>
    <row r="24" spans="1:7" x14ac:dyDescent="0.25">
      <c r="A24" s="2">
        <v>19</v>
      </c>
      <c r="B24" s="15" t="s">
        <v>604</v>
      </c>
      <c r="C24" s="27">
        <v>13</v>
      </c>
      <c r="D24" s="2">
        <v>18</v>
      </c>
      <c r="E24" s="2">
        <v>11</v>
      </c>
      <c r="F24" s="2">
        <v>13</v>
      </c>
      <c r="G24" s="2">
        <f t="shared" si="1"/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opLeftCell="A10" workbookViewId="0">
      <selection activeCell="G7" sqref="G7"/>
    </sheetView>
  </sheetViews>
  <sheetFormatPr defaultRowHeight="15" x14ac:dyDescent="0.25"/>
  <cols>
    <col min="1" max="1" width="6.7109375" customWidth="1"/>
    <col min="2" max="2" width="22.28515625" customWidth="1"/>
    <col min="3" max="3" width="21.140625" customWidth="1"/>
    <col min="4" max="4" width="19.28515625" customWidth="1"/>
    <col min="5" max="5" width="20.140625" customWidth="1"/>
    <col min="6" max="6" width="19.5703125" customWidth="1"/>
    <col min="7" max="7" width="18.85546875" customWidth="1"/>
  </cols>
  <sheetData>
    <row r="1" spans="1:7" ht="20.25" x14ac:dyDescent="0.3">
      <c r="A1" s="29"/>
      <c r="B1" s="29"/>
      <c r="C1" s="30"/>
      <c r="D1" s="31" t="s">
        <v>134</v>
      </c>
      <c r="E1" s="31"/>
      <c r="F1" s="29"/>
      <c r="G1" s="32"/>
    </row>
    <row r="2" spans="1:7" ht="20.25" x14ac:dyDescent="0.3">
      <c r="A2" s="29"/>
      <c r="B2" s="29"/>
      <c r="C2" s="30"/>
      <c r="D2" s="31" t="s">
        <v>135</v>
      </c>
      <c r="E2" s="31"/>
      <c r="F2" s="29"/>
      <c r="G2" s="32"/>
    </row>
    <row r="3" spans="1:7" ht="20.25" x14ac:dyDescent="0.3">
      <c r="A3" s="29"/>
      <c r="B3" s="29"/>
      <c r="C3" s="30"/>
      <c r="D3" s="31" t="s">
        <v>136</v>
      </c>
      <c r="E3" s="31"/>
      <c r="F3" s="29"/>
      <c r="G3" s="32"/>
    </row>
    <row r="4" spans="1:7" x14ac:dyDescent="0.25">
      <c r="A4" s="3" t="s">
        <v>1</v>
      </c>
      <c r="B4" s="4" t="s">
        <v>2</v>
      </c>
      <c r="C4" s="4" t="s">
        <v>3</v>
      </c>
      <c r="D4" s="4" t="s">
        <v>3</v>
      </c>
      <c r="E4" s="4" t="s">
        <v>3</v>
      </c>
      <c r="F4" s="4" t="s">
        <v>3</v>
      </c>
      <c r="G4" s="3" t="s">
        <v>4</v>
      </c>
    </row>
    <row r="5" spans="1:7" x14ac:dyDescent="0.25">
      <c r="A5" s="5"/>
      <c r="B5" s="6"/>
      <c r="C5" s="8" t="s">
        <v>5</v>
      </c>
      <c r="D5" s="8" t="s">
        <v>111</v>
      </c>
      <c r="E5" s="8" t="s">
        <v>54</v>
      </c>
      <c r="F5" s="8" t="s">
        <v>52</v>
      </c>
      <c r="G5" s="7" t="s">
        <v>603</v>
      </c>
    </row>
    <row r="6" spans="1:7" x14ac:dyDescent="0.25">
      <c r="A6" s="33"/>
      <c r="B6" s="34"/>
      <c r="C6" s="5" t="s">
        <v>7</v>
      </c>
      <c r="D6" s="35" t="s">
        <v>8</v>
      </c>
      <c r="E6" s="35" t="s">
        <v>9</v>
      </c>
      <c r="F6" s="5" t="s">
        <v>10</v>
      </c>
      <c r="G6" s="3"/>
    </row>
    <row r="7" spans="1:7" x14ac:dyDescent="0.25">
      <c r="A7" s="5">
        <v>1</v>
      </c>
      <c r="B7" s="6" t="s">
        <v>138</v>
      </c>
      <c r="C7" s="5">
        <v>11</v>
      </c>
      <c r="D7" s="3">
        <v>15</v>
      </c>
      <c r="E7" s="3">
        <v>16</v>
      </c>
      <c r="F7" s="3">
        <v>16</v>
      </c>
      <c r="G7" s="3">
        <v>58</v>
      </c>
    </row>
    <row r="8" spans="1:7" x14ac:dyDescent="0.25">
      <c r="A8" s="3">
        <v>2</v>
      </c>
      <c r="B8" s="4" t="s">
        <v>139</v>
      </c>
      <c r="C8" s="3">
        <v>16</v>
      </c>
      <c r="D8" s="3">
        <v>18</v>
      </c>
      <c r="E8" s="3">
        <v>13</v>
      </c>
      <c r="F8" s="3">
        <v>14</v>
      </c>
      <c r="G8" s="3">
        <f t="shared" ref="G8:G15" si="0">C8+D8+E8+F8</f>
        <v>61</v>
      </c>
    </row>
    <row r="9" spans="1:7" x14ac:dyDescent="0.25">
      <c r="A9" s="3">
        <v>3</v>
      </c>
      <c r="B9" s="4" t="s">
        <v>140</v>
      </c>
      <c r="C9" s="3">
        <v>17</v>
      </c>
      <c r="D9" s="3">
        <v>17</v>
      </c>
      <c r="E9" s="3">
        <v>8</v>
      </c>
      <c r="F9" s="3">
        <v>12</v>
      </c>
      <c r="G9" s="3">
        <f t="shared" si="0"/>
        <v>54</v>
      </c>
    </row>
    <row r="10" spans="1:7" x14ac:dyDescent="0.25">
      <c r="A10" s="3">
        <v>4</v>
      </c>
      <c r="B10" s="4" t="s">
        <v>141</v>
      </c>
      <c r="C10" s="3">
        <v>17</v>
      </c>
      <c r="D10" s="3">
        <v>10</v>
      </c>
      <c r="E10" s="3">
        <v>15</v>
      </c>
      <c r="F10" s="3">
        <v>16</v>
      </c>
      <c r="G10" s="3">
        <f t="shared" si="0"/>
        <v>58</v>
      </c>
    </row>
    <row r="11" spans="1:7" x14ac:dyDescent="0.25">
      <c r="A11" s="3">
        <v>5</v>
      </c>
      <c r="B11" s="4" t="s">
        <v>142</v>
      </c>
      <c r="C11" s="3">
        <v>13</v>
      </c>
      <c r="D11" s="3">
        <v>22</v>
      </c>
      <c r="E11" s="3">
        <v>16</v>
      </c>
      <c r="F11" s="3">
        <v>18</v>
      </c>
      <c r="G11" s="3">
        <f t="shared" si="0"/>
        <v>69</v>
      </c>
    </row>
    <row r="12" spans="1:7" x14ac:dyDescent="0.25">
      <c r="A12" s="3">
        <v>6</v>
      </c>
      <c r="B12" s="4" t="s">
        <v>143</v>
      </c>
      <c r="C12" s="3">
        <v>1</v>
      </c>
      <c r="D12" s="3">
        <v>19</v>
      </c>
      <c r="E12" s="3">
        <v>13</v>
      </c>
      <c r="F12" s="3">
        <v>14</v>
      </c>
      <c r="G12" s="3">
        <f t="shared" si="0"/>
        <v>47</v>
      </c>
    </row>
    <row r="13" spans="1:7" x14ac:dyDescent="0.25">
      <c r="A13" s="3">
        <v>7</v>
      </c>
      <c r="B13" s="4" t="s">
        <v>144</v>
      </c>
      <c r="C13" s="3">
        <v>9</v>
      </c>
      <c r="D13" s="3">
        <v>14</v>
      </c>
      <c r="E13" s="3">
        <v>14</v>
      </c>
      <c r="F13" s="3">
        <v>6</v>
      </c>
      <c r="G13" s="3">
        <f t="shared" si="0"/>
        <v>43</v>
      </c>
    </row>
    <row r="14" spans="1:7" x14ac:dyDescent="0.25">
      <c r="A14" s="3">
        <v>8</v>
      </c>
      <c r="B14" s="4" t="s">
        <v>145</v>
      </c>
      <c r="C14" s="3">
        <v>10</v>
      </c>
      <c r="D14" s="3">
        <v>19</v>
      </c>
      <c r="E14" s="3">
        <v>15</v>
      </c>
      <c r="F14" s="3">
        <v>13</v>
      </c>
      <c r="G14" s="3">
        <f t="shared" si="0"/>
        <v>57</v>
      </c>
    </row>
    <row r="15" spans="1:7" x14ac:dyDescent="0.25">
      <c r="A15" s="3">
        <v>9</v>
      </c>
      <c r="B15" s="4" t="s">
        <v>146</v>
      </c>
      <c r="C15" s="3">
        <v>17</v>
      </c>
      <c r="D15" s="3">
        <v>22</v>
      </c>
      <c r="E15" s="3">
        <v>15</v>
      </c>
      <c r="F15" s="3">
        <v>15</v>
      </c>
      <c r="G15" s="3">
        <f t="shared" si="0"/>
        <v>69</v>
      </c>
    </row>
    <row r="16" spans="1:7" x14ac:dyDescent="0.25">
      <c r="A16" s="3">
        <v>10</v>
      </c>
      <c r="B16" s="4" t="s">
        <v>147</v>
      </c>
      <c r="C16" s="3"/>
      <c r="D16" s="3"/>
      <c r="E16" s="3">
        <v>4</v>
      </c>
      <c r="F16" s="3">
        <v>13</v>
      </c>
      <c r="G16" s="3">
        <f>E16+F16</f>
        <v>17</v>
      </c>
    </row>
    <row r="17" spans="1:7" x14ac:dyDescent="0.25">
      <c r="A17" s="3">
        <v>11</v>
      </c>
      <c r="B17" s="4" t="s">
        <v>148</v>
      </c>
      <c r="C17" s="3"/>
      <c r="D17" s="3">
        <v>18</v>
      </c>
      <c r="E17" s="3">
        <v>15</v>
      </c>
      <c r="F17" s="3">
        <v>14</v>
      </c>
      <c r="G17" s="3">
        <f>D17+E17+F17</f>
        <v>47</v>
      </c>
    </row>
    <row r="18" spans="1:7" x14ac:dyDescent="0.25">
      <c r="A18" s="3">
        <v>12</v>
      </c>
      <c r="B18" s="4" t="s">
        <v>149</v>
      </c>
      <c r="C18" s="3">
        <v>3</v>
      </c>
      <c r="D18" s="3">
        <v>13</v>
      </c>
      <c r="E18" s="3">
        <v>8</v>
      </c>
      <c r="F18" s="3">
        <v>8</v>
      </c>
      <c r="G18" s="3">
        <f t="shared" ref="G18:G28" si="1">C18+D18+E18+F18</f>
        <v>32</v>
      </c>
    </row>
    <row r="19" spans="1:7" x14ac:dyDescent="0.25">
      <c r="A19" s="3">
        <v>13</v>
      </c>
      <c r="B19" s="4" t="s">
        <v>150</v>
      </c>
      <c r="C19" s="3">
        <v>14</v>
      </c>
      <c r="D19" s="3">
        <v>19</v>
      </c>
      <c r="E19" s="3">
        <v>8</v>
      </c>
      <c r="F19" s="3">
        <v>7</v>
      </c>
      <c r="G19" s="3">
        <f t="shared" si="1"/>
        <v>48</v>
      </c>
    </row>
    <row r="20" spans="1:7" x14ac:dyDescent="0.25">
      <c r="A20" s="3">
        <v>14</v>
      </c>
      <c r="B20" s="4" t="s">
        <v>151</v>
      </c>
      <c r="C20" s="3">
        <v>16</v>
      </c>
      <c r="D20" s="3">
        <v>21</v>
      </c>
      <c r="E20" s="3">
        <v>14</v>
      </c>
      <c r="F20" s="3">
        <v>14</v>
      </c>
      <c r="G20" s="3">
        <f t="shared" si="1"/>
        <v>65</v>
      </c>
    </row>
    <row r="21" spans="1:7" x14ac:dyDescent="0.25">
      <c r="A21" s="3">
        <v>15</v>
      </c>
      <c r="B21" s="4" t="s">
        <v>152</v>
      </c>
      <c r="C21" s="3">
        <v>2</v>
      </c>
      <c r="D21" s="3">
        <v>13</v>
      </c>
      <c r="E21" s="3">
        <v>2</v>
      </c>
      <c r="F21" s="3">
        <v>1</v>
      </c>
      <c r="G21" s="3">
        <f t="shared" si="1"/>
        <v>18</v>
      </c>
    </row>
    <row r="22" spans="1:7" x14ac:dyDescent="0.25">
      <c r="A22" s="3">
        <v>16</v>
      </c>
      <c r="B22" s="4" t="s">
        <v>153</v>
      </c>
      <c r="C22" s="3">
        <v>15</v>
      </c>
      <c r="D22" s="3">
        <v>16</v>
      </c>
      <c r="E22" s="3">
        <v>16</v>
      </c>
      <c r="F22" s="3">
        <v>15</v>
      </c>
      <c r="G22" s="3">
        <f t="shared" si="1"/>
        <v>62</v>
      </c>
    </row>
    <row r="23" spans="1:7" x14ac:dyDescent="0.25">
      <c r="A23" s="3">
        <v>17</v>
      </c>
      <c r="B23" s="4" t="s">
        <v>154</v>
      </c>
      <c r="C23" s="3">
        <v>15</v>
      </c>
      <c r="D23" s="3">
        <v>19</v>
      </c>
      <c r="E23" s="3">
        <v>13</v>
      </c>
      <c r="F23" s="3">
        <v>16</v>
      </c>
      <c r="G23" s="3">
        <f t="shared" si="1"/>
        <v>63</v>
      </c>
    </row>
    <row r="24" spans="1:7" x14ac:dyDescent="0.25">
      <c r="A24" s="3">
        <v>18</v>
      </c>
      <c r="B24" s="4" t="s">
        <v>155</v>
      </c>
      <c r="C24" s="3">
        <v>17</v>
      </c>
      <c r="D24" s="3">
        <v>16</v>
      </c>
      <c r="E24" s="3">
        <v>13</v>
      </c>
      <c r="F24" s="3">
        <v>17</v>
      </c>
      <c r="G24" s="3">
        <f t="shared" si="1"/>
        <v>63</v>
      </c>
    </row>
    <row r="25" spans="1:7" x14ac:dyDescent="0.25">
      <c r="A25" s="3">
        <v>19</v>
      </c>
      <c r="B25" s="4" t="s">
        <v>156</v>
      </c>
      <c r="C25" s="3">
        <v>3</v>
      </c>
      <c r="D25" s="3">
        <v>20</v>
      </c>
      <c r="E25" s="3">
        <v>15</v>
      </c>
      <c r="F25" s="3">
        <v>17</v>
      </c>
      <c r="G25" s="3">
        <f t="shared" si="1"/>
        <v>55</v>
      </c>
    </row>
    <row r="26" spans="1:7" x14ac:dyDescent="0.25">
      <c r="A26" s="3">
        <v>20</v>
      </c>
      <c r="B26" s="4" t="s">
        <v>157</v>
      </c>
      <c r="C26" s="3">
        <v>9</v>
      </c>
      <c r="D26" s="3">
        <v>17</v>
      </c>
      <c r="E26" s="3">
        <v>5</v>
      </c>
      <c r="F26" s="3">
        <v>12</v>
      </c>
      <c r="G26" s="3">
        <f t="shared" si="1"/>
        <v>43</v>
      </c>
    </row>
    <row r="27" spans="1:7" x14ac:dyDescent="0.25">
      <c r="A27" s="3">
        <v>16</v>
      </c>
      <c r="B27" s="4" t="s">
        <v>158</v>
      </c>
      <c r="C27" s="3">
        <v>17</v>
      </c>
      <c r="D27" s="3">
        <v>21</v>
      </c>
      <c r="E27" s="3">
        <v>16</v>
      </c>
      <c r="F27" s="3">
        <v>16</v>
      </c>
      <c r="G27" s="3">
        <f t="shared" si="1"/>
        <v>70</v>
      </c>
    </row>
    <row r="28" spans="1:7" x14ac:dyDescent="0.25">
      <c r="A28" s="3">
        <v>22</v>
      </c>
      <c r="B28" s="4" t="s">
        <v>159</v>
      </c>
      <c r="C28" s="3">
        <v>15</v>
      </c>
      <c r="D28" s="3">
        <v>19</v>
      </c>
      <c r="E28" s="3">
        <v>15</v>
      </c>
      <c r="F28" s="3">
        <v>11</v>
      </c>
      <c r="G28" s="3">
        <f t="shared" si="1"/>
        <v>60</v>
      </c>
    </row>
    <row r="29" spans="1:7" x14ac:dyDescent="0.25">
      <c r="A29" s="3">
        <v>23</v>
      </c>
      <c r="B29" s="4" t="s">
        <v>160</v>
      </c>
      <c r="C29" s="3"/>
      <c r="D29" s="3"/>
      <c r="E29" s="3">
        <v>7</v>
      </c>
      <c r="F29" s="3">
        <v>18</v>
      </c>
      <c r="G29" s="3">
        <f>E29+F29</f>
        <v>25</v>
      </c>
    </row>
    <row r="30" spans="1:7" x14ac:dyDescent="0.25">
      <c r="A30" s="3">
        <v>24</v>
      </c>
      <c r="B30" s="4" t="s">
        <v>161</v>
      </c>
      <c r="C30" s="3"/>
      <c r="D30" s="3"/>
      <c r="E30" s="3">
        <v>13</v>
      </c>
      <c r="F30" s="3">
        <v>16</v>
      </c>
      <c r="G30" s="3">
        <f>E30+F30</f>
        <v>29</v>
      </c>
    </row>
    <row r="31" spans="1:7" x14ac:dyDescent="0.25">
      <c r="A31" s="3">
        <v>13</v>
      </c>
      <c r="B31" s="4" t="s">
        <v>162</v>
      </c>
      <c r="C31" s="3"/>
      <c r="D31" s="3">
        <v>19</v>
      </c>
      <c r="E31" s="3">
        <v>13</v>
      </c>
      <c r="F31" s="3">
        <v>16</v>
      </c>
      <c r="G31" s="3">
        <f>D31+E31+F31</f>
        <v>48</v>
      </c>
    </row>
    <row r="32" spans="1:7" x14ac:dyDescent="0.25">
      <c r="A32" s="3">
        <v>26</v>
      </c>
      <c r="B32" s="4" t="s">
        <v>163</v>
      </c>
      <c r="C32" s="3">
        <v>12</v>
      </c>
      <c r="D32" s="3">
        <v>20</v>
      </c>
      <c r="E32" s="3">
        <v>15</v>
      </c>
      <c r="F32" s="3">
        <v>17</v>
      </c>
      <c r="G32" s="3">
        <f>C32+D32+E32+F32</f>
        <v>64</v>
      </c>
    </row>
    <row r="33" spans="1:7" x14ac:dyDescent="0.25">
      <c r="A33" s="3">
        <v>27</v>
      </c>
      <c r="B33" s="4" t="s">
        <v>164</v>
      </c>
      <c r="C33" s="3">
        <v>12</v>
      </c>
      <c r="D33" s="3">
        <v>20</v>
      </c>
      <c r="E33" s="3">
        <v>12</v>
      </c>
      <c r="F33" s="3">
        <v>15</v>
      </c>
      <c r="G33" s="3">
        <f>C33+D33+E33+F33</f>
        <v>59</v>
      </c>
    </row>
    <row r="34" spans="1:7" x14ac:dyDescent="0.25">
      <c r="A34" s="3">
        <v>28</v>
      </c>
      <c r="B34" s="4" t="s">
        <v>165</v>
      </c>
      <c r="C34" s="3">
        <v>12</v>
      </c>
      <c r="D34" s="3">
        <v>7</v>
      </c>
      <c r="E34" s="3">
        <v>3</v>
      </c>
      <c r="F34" s="3">
        <v>2</v>
      </c>
      <c r="G34" s="3">
        <f>C34+D34+E34+F34</f>
        <v>24</v>
      </c>
    </row>
    <row r="35" spans="1:7" x14ac:dyDescent="0.25">
      <c r="A35" s="3">
        <v>29</v>
      </c>
      <c r="B35" s="4" t="s">
        <v>166</v>
      </c>
      <c r="C35" s="3"/>
      <c r="D35" s="3">
        <v>16</v>
      </c>
      <c r="E35" s="3">
        <v>20</v>
      </c>
      <c r="F35" s="3">
        <v>12</v>
      </c>
      <c r="G35" s="3">
        <f>D35+E35+F35</f>
        <v>48</v>
      </c>
    </row>
    <row r="36" spans="1:7" x14ac:dyDescent="0.25">
      <c r="A36" s="3">
        <v>30</v>
      </c>
      <c r="B36" s="4" t="s">
        <v>167</v>
      </c>
      <c r="C36" s="3"/>
      <c r="D36" s="3">
        <v>18</v>
      </c>
      <c r="E36" s="3">
        <v>15</v>
      </c>
      <c r="F36" s="3">
        <v>15</v>
      </c>
      <c r="G36" s="3">
        <f>D36+E36+F36</f>
        <v>48</v>
      </c>
    </row>
    <row r="37" spans="1:7" x14ac:dyDescent="0.25">
      <c r="A37" s="3">
        <v>31</v>
      </c>
      <c r="B37" s="36" t="s">
        <v>168</v>
      </c>
      <c r="C37" s="3"/>
      <c r="D37" s="3">
        <v>17</v>
      </c>
      <c r="E37" s="3">
        <v>11</v>
      </c>
      <c r="F37" s="3">
        <v>14</v>
      </c>
      <c r="G37" s="3">
        <f>D37+E37+F37</f>
        <v>42</v>
      </c>
    </row>
    <row r="38" spans="1:7" x14ac:dyDescent="0.25">
      <c r="A38" s="3">
        <v>32</v>
      </c>
      <c r="B38" s="4" t="s">
        <v>169</v>
      </c>
      <c r="C38" s="3">
        <v>14</v>
      </c>
      <c r="D38" s="3">
        <v>21</v>
      </c>
      <c r="E38" s="3">
        <v>16</v>
      </c>
      <c r="F38" s="3">
        <v>14</v>
      </c>
      <c r="G38" s="3">
        <f t="shared" ref="G38:G43" si="2">C38+D38+E38+F38</f>
        <v>65</v>
      </c>
    </row>
    <row r="39" spans="1:7" x14ac:dyDescent="0.25">
      <c r="A39" s="3">
        <v>33</v>
      </c>
      <c r="B39" s="4" t="s">
        <v>170</v>
      </c>
      <c r="C39" s="3">
        <v>12</v>
      </c>
      <c r="D39" s="3">
        <v>15</v>
      </c>
      <c r="E39" s="3">
        <v>9</v>
      </c>
      <c r="F39" s="3">
        <v>9</v>
      </c>
      <c r="G39" s="3">
        <f t="shared" si="2"/>
        <v>45</v>
      </c>
    </row>
    <row r="40" spans="1:7" x14ac:dyDescent="0.25">
      <c r="A40" s="3">
        <v>34</v>
      </c>
      <c r="B40" s="4" t="s">
        <v>171</v>
      </c>
      <c r="C40" s="3">
        <v>6</v>
      </c>
      <c r="D40" s="3">
        <v>16</v>
      </c>
      <c r="E40" s="3">
        <v>15</v>
      </c>
      <c r="F40" s="3">
        <v>14</v>
      </c>
      <c r="G40" s="3">
        <f t="shared" si="2"/>
        <v>51</v>
      </c>
    </row>
    <row r="41" spans="1:7" x14ac:dyDescent="0.25">
      <c r="A41" s="3">
        <v>35</v>
      </c>
      <c r="B41" s="4" t="s">
        <v>172</v>
      </c>
      <c r="C41" s="3">
        <v>8</v>
      </c>
      <c r="D41" s="3">
        <v>18</v>
      </c>
      <c r="E41" s="3">
        <v>11</v>
      </c>
      <c r="F41" s="3">
        <v>17</v>
      </c>
      <c r="G41" s="3">
        <f t="shared" si="2"/>
        <v>54</v>
      </c>
    </row>
    <row r="42" spans="1:7" x14ac:dyDescent="0.25">
      <c r="A42" s="3">
        <v>36</v>
      </c>
      <c r="B42" s="4" t="s">
        <v>173</v>
      </c>
      <c r="C42" s="3">
        <v>15</v>
      </c>
      <c r="D42" s="3">
        <v>20</v>
      </c>
      <c r="E42" s="3">
        <v>12</v>
      </c>
      <c r="F42" s="3">
        <v>14</v>
      </c>
      <c r="G42" s="3">
        <f t="shared" si="2"/>
        <v>61</v>
      </c>
    </row>
    <row r="43" spans="1:7" x14ac:dyDescent="0.25">
      <c r="A43" s="3">
        <v>37</v>
      </c>
      <c r="B43" s="4" t="s">
        <v>174</v>
      </c>
      <c r="C43" s="3">
        <v>2</v>
      </c>
      <c r="D43" s="3">
        <v>18</v>
      </c>
      <c r="E43" s="3">
        <v>7</v>
      </c>
      <c r="F43" s="3">
        <v>8</v>
      </c>
      <c r="G43" s="3">
        <f t="shared" si="2"/>
        <v>35</v>
      </c>
    </row>
    <row r="44" spans="1:7" x14ac:dyDescent="0.25">
      <c r="A44" s="3">
        <v>38</v>
      </c>
      <c r="B44" s="4" t="s">
        <v>175</v>
      </c>
      <c r="C44" s="3"/>
      <c r="D44" s="3"/>
      <c r="E44" s="3">
        <v>4</v>
      </c>
      <c r="F44" s="3">
        <v>16</v>
      </c>
      <c r="G44" s="3">
        <f>E44+F44</f>
        <v>20</v>
      </c>
    </row>
    <row r="45" spans="1:7" x14ac:dyDescent="0.25">
      <c r="A45" s="3">
        <v>39</v>
      </c>
      <c r="B45" s="4" t="s">
        <v>176</v>
      </c>
      <c r="C45" s="3">
        <v>10</v>
      </c>
      <c r="D45" s="3">
        <v>10</v>
      </c>
      <c r="E45" s="3">
        <v>11</v>
      </c>
      <c r="F45" s="3">
        <v>16</v>
      </c>
      <c r="G45" s="3">
        <f>C45+D45+E45+F45</f>
        <v>47</v>
      </c>
    </row>
    <row r="46" spans="1:7" x14ac:dyDescent="0.25">
      <c r="A46" s="3">
        <v>40</v>
      </c>
      <c r="B46" s="4" t="s">
        <v>177</v>
      </c>
      <c r="C46" s="3"/>
      <c r="D46" s="3">
        <v>13</v>
      </c>
      <c r="E46" s="3">
        <v>8</v>
      </c>
      <c r="F46" s="3">
        <v>19</v>
      </c>
      <c r="G46" s="3">
        <f>D46+E46+F46</f>
        <v>40</v>
      </c>
    </row>
    <row r="47" spans="1:7" x14ac:dyDescent="0.25">
      <c r="A47" s="3">
        <v>41</v>
      </c>
      <c r="B47" s="4" t="s">
        <v>178</v>
      </c>
      <c r="C47" s="3">
        <v>2</v>
      </c>
      <c r="D47" s="3">
        <v>21</v>
      </c>
      <c r="E47" s="3">
        <v>12</v>
      </c>
      <c r="F47" s="3">
        <v>15</v>
      </c>
      <c r="G47" s="3">
        <f>C47+D47+E47+F47</f>
        <v>50</v>
      </c>
    </row>
    <row r="48" spans="1:7" x14ac:dyDescent="0.25">
      <c r="A48" s="3">
        <v>42</v>
      </c>
      <c r="B48" s="4" t="s">
        <v>179</v>
      </c>
      <c r="C48" s="3">
        <v>6</v>
      </c>
      <c r="D48" s="3">
        <v>12</v>
      </c>
      <c r="E48" s="3">
        <v>6</v>
      </c>
      <c r="F48" s="3">
        <v>6</v>
      </c>
      <c r="G48" s="3">
        <f>C48+D48+E48+F48</f>
        <v>30</v>
      </c>
    </row>
    <row r="49" spans="1:7" x14ac:dyDescent="0.25">
      <c r="A49" s="3">
        <v>43</v>
      </c>
      <c r="B49" s="36" t="s">
        <v>180</v>
      </c>
      <c r="C49" s="3"/>
      <c r="D49" s="3">
        <v>18</v>
      </c>
      <c r="E49" s="3">
        <v>17</v>
      </c>
      <c r="F49" s="3">
        <v>17</v>
      </c>
      <c r="G49" s="3">
        <f>D49+E49+F49</f>
        <v>52</v>
      </c>
    </row>
    <row r="50" spans="1:7" x14ac:dyDescent="0.25">
      <c r="A50" s="3">
        <v>44</v>
      </c>
      <c r="B50" s="4" t="s">
        <v>181</v>
      </c>
      <c r="C50" s="3"/>
      <c r="D50" s="3">
        <v>18</v>
      </c>
      <c r="E50" s="3">
        <v>13</v>
      </c>
      <c r="F50" s="3">
        <v>16</v>
      </c>
      <c r="G50" s="3">
        <f>D50+E50+F50</f>
        <v>47</v>
      </c>
    </row>
    <row r="51" spans="1:7" x14ac:dyDescent="0.25">
      <c r="A51" s="3">
        <v>45</v>
      </c>
      <c r="B51" s="4" t="s">
        <v>182</v>
      </c>
      <c r="C51" s="3"/>
      <c r="D51" s="3">
        <v>15</v>
      </c>
      <c r="E51" s="3">
        <v>13</v>
      </c>
      <c r="F51" s="3">
        <v>12</v>
      </c>
      <c r="G51" s="3">
        <f>D51+E51+F51</f>
        <v>40</v>
      </c>
    </row>
    <row r="52" spans="1:7" x14ac:dyDescent="0.25">
      <c r="A52" s="3">
        <v>46</v>
      </c>
      <c r="B52" s="4" t="s">
        <v>183</v>
      </c>
      <c r="C52" s="3"/>
      <c r="D52" s="3">
        <v>20</v>
      </c>
      <c r="E52" s="3">
        <v>14</v>
      </c>
      <c r="F52" s="3">
        <v>15</v>
      </c>
      <c r="G52" s="3">
        <f>D52+E52+F52</f>
        <v>49</v>
      </c>
    </row>
    <row r="53" spans="1:7" x14ac:dyDescent="0.25">
      <c r="A53" s="3">
        <v>47</v>
      </c>
      <c r="B53" s="4" t="s">
        <v>184</v>
      </c>
      <c r="C53" s="3">
        <v>15</v>
      </c>
      <c r="D53" s="3">
        <v>22</v>
      </c>
      <c r="E53" s="3">
        <v>14</v>
      </c>
      <c r="F53" s="3">
        <v>15</v>
      </c>
      <c r="G53" s="3">
        <f>C53+D53+E53+F53</f>
        <v>66</v>
      </c>
    </row>
    <row r="54" spans="1:7" x14ac:dyDescent="0.25">
      <c r="A54" s="3">
        <v>48</v>
      </c>
      <c r="B54" s="4" t="s">
        <v>185</v>
      </c>
      <c r="C54" s="3">
        <v>10</v>
      </c>
      <c r="D54" s="3">
        <v>20</v>
      </c>
      <c r="E54" s="3">
        <v>11</v>
      </c>
      <c r="F54" s="3">
        <v>14</v>
      </c>
      <c r="G54" s="3">
        <f>C54+D54+E54+F54</f>
        <v>55</v>
      </c>
    </row>
  </sheetData>
  <pageMargins left="0.2" right="0.2" top="0.16" bottom="0.75" header="0.3" footer="0.3"/>
  <pageSetup paperSize="9" scale="7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opLeftCell="A10" workbookViewId="0">
      <selection activeCell="C25" sqref="C25"/>
    </sheetView>
  </sheetViews>
  <sheetFormatPr defaultRowHeight="15" x14ac:dyDescent="0.25"/>
  <cols>
    <col min="1" max="1" width="6.7109375" style="25" customWidth="1"/>
    <col min="2" max="2" width="24.42578125" customWidth="1"/>
    <col min="3" max="3" width="20.85546875" customWidth="1"/>
    <col min="4" max="4" width="20.7109375" customWidth="1"/>
    <col min="5" max="5" width="20" customWidth="1"/>
    <col min="6" max="6" width="20.140625" customWidth="1"/>
    <col min="7" max="7" width="19.140625" customWidth="1"/>
  </cols>
  <sheetData>
    <row r="1" spans="1:7" ht="20.25" x14ac:dyDescent="0.3">
      <c r="A1" s="32"/>
      <c r="B1" s="29"/>
      <c r="C1" s="30"/>
      <c r="D1" s="31" t="s">
        <v>134</v>
      </c>
      <c r="E1" s="31"/>
      <c r="F1" s="29"/>
      <c r="G1" s="32"/>
    </row>
    <row r="2" spans="1:7" ht="20.25" x14ac:dyDescent="0.3">
      <c r="A2" s="32"/>
      <c r="B2" s="29"/>
      <c r="C2" s="30"/>
      <c r="D2" s="31" t="s">
        <v>135</v>
      </c>
      <c r="E2" s="31"/>
      <c r="F2" s="29"/>
      <c r="G2" s="32"/>
    </row>
    <row r="3" spans="1:7" ht="20.25" x14ac:dyDescent="0.3">
      <c r="A3" s="32"/>
      <c r="B3" s="29"/>
      <c r="C3" s="30"/>
      <c r="D3" s="31" t="s">
        <v>186</v>
      </c>
      <c r="E3" s="31"/>
      <c r="F3" s="29"/>
      <c r="G3" s="32"/>
    </row>
    <row r="4" spans="1:7" x14ac:dyDescent="0.25">
      <c r="A4" s="3" t="s">
        <v>1</v>
      </c>
      <c r="B4" s="4" t="s">
        <v>2</v>
      </c>
      <c r="C4" s="4" t="s">
        <v>3</v>
      </c>
      <c r="D4" s="4" t="s">
        <v>3</v>
      </c>
      <c r="E4" s="4" t="s">
        <v>3</v>
      </c>
      <c r="F4" s="4" t="s">
        <v>3</v>
      </c>
      <c r="G4" s="3" t="s">
        <v>4</v>
      </c>
    </row>
    <row r="5" spans="1:7" x14ac:dyDescent="0.25">
      <c r="A5" s="5"/>
      <c r="B5" s="6"/>
      <c r="C5" s="8" t="s">
        <v>5</v>
      </c>
      <c r="D5" s="8" t="s">
        <v>111</v>
      </c>
      <c r="E5" s="8" t="s">
        <v>54</v>
      </c>
      <c r="F5" s="8" t="s">
        <v>187</v>
      </c>
      <c r="G5" s="7" t="s">
        <v>6</v>
      </c>
    </row>
    <row r="6" spans="1:7" x14ac:dyDescent="0.25">
      <c r="A6" s="9"/>
      <c r="B6" s="10"/>
      <c r="C6" s="11" t="s">
        <v>7</v>
      </c>
      <c r="D6" s="11" t="s">
        <v>8</v>
      </c>
      <c r="E6" s="11" t="s">
        <v>9</v>
      </c>
      <c r="F6" s="11" t="s">
        <v>10</v>
      </c>
      <c r="G6" s="12"/>
    </row>
    <row r="7" spans="1:7" x14ac:dyDescent="0.25">
      <c r="A7" s="2">
        <v>1</v>
      </c>
      <c r="B7" s="37" t="s">
        <v>188</v>
      </c>
      <c r="C7" s="2">
        <v>12</v>
      </c>
      <c r="D7" s="2">
        <v>16</v>
      </c>
      <c r="E7" s="2">
        <v>15</v>
      </c>
      <c r="F7" s="2">
        <v>16</v>
      </c>
      <c r="G7" s="2">
        <f>C7+D7+E7+F7</f>
        <v>59</v>
      </c>
    </row>
    <row r="8" spans="1:7" x14ac:dyDescent="0.25">
      <c r="A8" s="2">
        <v>2</v>
      </c>
      <c r="B8" s="37" t="s">
        <v>189</v>
      </c>
      <c r="C8" s="2"/>
      <c r="D8" s="2">
        <v>7</v>
      </c>
      <c r="E8" s="2">
        <v>13</v>
      </c>
      <c r="F8" s="2">
        <v>15</v>
      </c>
      <c r="G8" s="2">
        <f>D8+E8+F8</f>
        <v>35</v>
      </c>
    </row>
    <row r="9" spans="1:7" x14ac:dyDescent="0.25">
      <c r="A9" s="2">
        <v>3</v>
      </c>
      <c r="B9" s="37" t="s">
        <v>190</v>
      </c>
      <c r="C9" s="2"/>
      <c r="D9" s="2">
        <v>21</v>
      </c>
      <c r="E9" s="2">
        <v>18</v>
      </c>
      <c r="F9" s="2">
        <v>16</v>
      </c>
      <c r="G9" s="2">
        <f>D9+E9+F9</f>
        <v>55</v>
      </c>
    </row>
    <row r="10" spans="1:7" x14ac:dyDescent="0.25">
      <c r="A10" s="2">
        <v>4</v>
      </c>
      <c r="B10" s="37" t="s">
        <v>191</v>
      </c>
      <c r="C10" s="2">
        <v>14</v>
      </c>
      <c r="D10" s="2">
        <v>19</v>
      </c>
      <c r="E10" s="2">
        <v>10</v>
      </c>
      <c r="F10" s="2">
        <v>17</v>
      </c>
      <c r="G10" s="2">
        <f t="shared" ref="G10:G22" si="0">C10+D10+E10+F10</f>
        <v>60</v>
      </c>
    </row>
    <row r="11" spans="1:7" x14ac:dyDescent="0.25">
      <c r="A11" s="2">
        <v>5</v>
      </c>
      <c r="B11" s="37" t="s">
        <v>192</v>
      </c>
      <c r="C11" s="2">
        <v>13</v>
      </c>
      <c r="D11" s="2">
        <v>17</v>
      </c>
      <c r="E11" s="2">
        <v>16</v>
      </c>
      <c r="F11" s="2">
        <v>16</v>
      </c>
      <c r="G11" s="2">
        <f t="shared" si="0"/>
        <v>62</v>
      </c>
    </row>
    <row r="12" spans="1:7" x14ac:dyDescent="0.25">
      <c r="A12" s="2">
        <v>6</v>
      </c>
      <c r="B12" s="37" t="s">
        <v>193</v>
      </c>
      <c r="C12" s="2">
        <v>7</v>
      </c>
      <c r="D12" s="2">
        <v>15</v>
      </c>
      <c r="E12" s="2">
        <v>9</v>
      </c>
      <c r="F12" s="2">
        <v>12</v>
      </c>
      <c r="G12" s="2">
        <f t="shared" si="0"/>
        <v>43</v>
      </c>
    </row>
    <row r="13" spans="1:7" x14ac:dyDescent="0.25">
      <c r="A13" s="2">
        <v>7</v>
      </c>
      <c r="B13" s="37" t="s">
        <v>194</v>
      </c>
      <c r="C13" s="2">
        <v>11</v>
      </c>
      <c r="D13" s="2">
        <v>16</v>
      </c>
      <c r="E13" s="2">
        <v>15</v>
      </c>
      <c r="F13" s="2">
        <v>15</v>
      </c>
      <c r="G13" s="2">
        <f t="shared" si="0"/>
        <v>57</v>
      </c>
    </row>
    <row r="14" spans="1:7" x14ac:dyDescent="0.25">
      <c r="A14" s="2">
        <v>8</v>
      </c>
      <c r="B14" s="38" t="s">
        <v>195</v>
      </c>
      <c r="C14" s="2">
        <v>15</v>
      </c>
      <c r="D14" s="2">
        <v>21</v>
      </c>
      <c r="E14" s="2">
        <v>12</v>
      </c>
      <c r="F14" s="2">
        <v>19</v>
      </c>
      <c r="G14" s="2">
        <f t="shared" si="0"/>
        <v>67</v>
      </c>
    </row>
    <row r="15" spans="1:7" x14ac:dyDescent="0.25">
      <c r="A15" s="2">
        <v>9</v>
      </c>
      <c r="B15" s="37" t="s">
        <v>196</v>
      </c>
      <c r="C15" s="2">
        <v>11</v>
      </c>
      <c r="D15" s="2">
        <v>21</v>
      </c>
      <c r="E15" s="2">
        <v>12</v>
      </c>
      <c r="F15" s="2">
        <v>16</v>
      </c>
      <c r="G15" s="2">
        <f t="shared" si="0"/>
        <v>60</v>
      </c>
    </row>
    <row r="16" spans="1:7" x14ac:dyDescent="0.25">
      <c r="A16" s="2">
        <v>10</v>
      </c>
      <c r="B16" s="37" t="s">
        <v>197</v>
      </c>
      <c r="C16" s="2">
        <v>15</v>
      </c>
      <c r="D16" s="2">
        <v>20</v>
      </c>
      <c r="E16" s="2">
        <v>12</v>
      </c>
      <c r="F16" s="2">
        <v>19</v>
      </c>
      <c r="G16" s="2">
        <f t="shared" si="0"/>
        <v>66</v>
      </c>
    </row>
    <row r="17" spans="1:7" x14ac:dyDescent="0.25">
      <c r="A17" s="2">
        <v>11</v>
      </c>
      <c r="B17" s="37" t="s">
        <v>198</v>
      </c>
      <c r="C17" s="2">
        <v>14</v>
      </c>
      <c r="D17" s="2">
        <v>22</v>
      </c>
      <c r="E17" s="2">
        <v>10</v>
      </c>
      <c r="F17" s="2">
        <v>19</v>
      </c>
      <c r="G17" s="2">
        <f t="shared" si="0"/>
        <v>65</v>
      </c>
    </row>
    <row r="18" spans="1:7" x14ac:dyDescent="0.25">
      <c r="A18" s="2">
        <v>12</v>
      </c>
      <c r="B18" s="37" t="s">
        <v>199</v>
      </c>
      <c r="C18" s="2">
        <v>13</v>
      </c>
      <c r="D18" s="2">
        <v>18</v>
      </c>
      <c r="E18" s="2">
        <v>14</v>
      </c>
      <c r="F18" s="2">
        <v>18</v>
      </c>
      <c r="G18" s="2">
        <f t="shared" si="0"/>
        <v>63</v>
      </c>
    </row>
    <row r="19" spans="1:7" x14ac:dyDescent="0.25">
      <c r="A19" s="2">
        <v>13</v>
      </c>
      <c r="B19" s="37" t="s">
        <v>200</v>
      </c>
      <c r="C19" s="2">
        <v>16</v>
      </c>
      <c r="D19" s="2">
        <v>22</v>
      </c>
      <c r="E19" s="2">
        <v>13</v>
      </c>
      <c r="F19" s="2">
        <v>18</v>
      </c>
      <c r="G19" s="2">
        <f t="shared" si="0"/>
        <v>69</v>
      </c>
    </row>
    <row r="20" spans="1:7" x14ac:dyDescent="0.25">
      <c r="A20" s="2">
        <v>14</v>
      </c>
      <c r="B20" s="37" t="s">
        <v>201</v>
      </c>
      <c r="C20" s="2">
        <v>17</v>
      </c>
      <c r="D20" s="2">
        <v>22</v>
      </c>
      <c r="E20" s="2">
        <v>17</v>
      </c>
      <c r="F20" s="2">
        <v>18</v>
      </c>
      <c r="G20" s="2">
        <f t="shared" si="0"/>
        <v>74</v>
      </c>
    </row>
    <row r="21" spans="1:7" x14ac:dyDescent="0.25">
      <c r="A21" s="2">
        <v>15</v>
      </c>
      <c r="B21" s="37" t="s">
        <v>202</v>
      </c>
      <c r="C21" s="2">
        <v>17</v>
      </c>
      <c r="D21" s="2">
        <v>20</v>
      </c>
      <c r="E21" s="2">
        <v>12</v>
      </c>
      <c r="F21" s="2">
        <v>16</v>
      </c>
      <c r="G21" s="2">
        <f t="shared" si="0"/>
        <v>65</v>
      </c>
    </row>
    <row r="22" spans="1:7" x14ac:dyDescent="0.25">
      <c r="A22" s="2">
        <v>16</v>
      </c>
      <c r="B22" s="37" t="s">
        <v>203</v>
      </c>
      <c r="C22" s="2">
        <v>16</v>
      </c>
      <c r="D22" s="2">
        <v>21</v>
      </c>
      <c r="E22" s="2">
        <v>14</v>
      </c>
      <c r="F22" s="2">
        <v>21</v>
      </c>
      <c r="G22" s="2">
        <f t="shared" si="0"/>
        <v>72</v>
      </c>
    </row>
    <row r="23" spans="1:7" x14ac:dyDescent="0.25">
      <c r="A23" s="2">
        <v>17</v>
      </c>
      <c r="B23" s="37" t="s">
        <v>204</v>
      </c>
      <c r="C23" s="2"/>
      <c r="D23" s="2">
        <v>16</v>
      </c>
      <c r="E23" s="2">
        <v>9</v>
      </c>
      <c r="F23" s="2">
        <v>13</v>
      </c>
      <c r="G23" s="2">
        <f>D23+E23+F23</f>
        <v>38</v>
      </c>
    </row>
    <row r="24" spans="1:7" x14ac:dyDescent="0.25">
      <c r="A24" s="2">
        <v>18</v>
      </c>
      <c r="B24" s="37" t="s">
        <v>205</v>
      </c>
      <c r="C24" s="2">
        <v>13</v>
      </c>
      <c r="D24" s="2">
        <v>19</v>
      </c>
      <c r="E24" s="2">
        <v>11</v>
      </c>
      <c r="F24" s="2">
        <v>14</v>
      </c>
      <c r="G24" s="2">
        <f>C24+D24+E24+F24</f>
        <v>57</v>
      </c>
    </row>
    <row r="25" spans="1:7" x14ac:dyDescent="0.25">
      <c r="A25" s="2">
        <v>19</v>
      </c>
      <c r="B25" s="37" t="s">
        <v>206</v>
      </c>
      <c r="C25" s="2">
        <v>1</v>
      </c>
      <c r="D25" s="2">
        <v>22</v>
      </c>
      <c r="E25" s="2">
        <v>11</v>
      </c>
      <c r="F25" s="2">
        <v>16</v>
      </c>
      <c r="G25" s="2">
        <f>C25+D25+E25+F25</f>
        <v>50</v>
      </c>
    </row>
    <row r="26" spans="1:7" x14ac:dyDescent="0.25">
      <c r="A26" s="2">
        <v>20</v>
      </c>
      <c r="B26" s="37" t="s">
        <v>207</v>
      </c>
      <c r="C26" s="2">
        <v>5</v>
      </c>
      <c r="D26" s="2">
        <v>18</v>
      </c>
      <c r="E26" s="2">
        <v>10</v>
      </c>
      <c r="F26" s="2">
        <v>16</v>
      </c>
      <c r="G26" s="2">
        <f>C26+D26+E26+F26</f>
        <v>49</v>
      </c>
    </row>
    <row r="27" spans="1:7" x14ac:dyDescent="0.25">
      <c r="A27" s="2">
        <v>21</v>
      </c>
      <c r="B27" s="37" t="s">
        <v>208</v>
      </c>
      <c r="C27" s="2">
        <v>16</v>
      </c>
      <c r="D27" s="2">
        <v>15</v>
      </c>
      <c r="E27" s="2">
        <v>13</v>
      </c>
      <c r="F27" s="2">
        <v>15</v>
      </c>
      <c r="G27" s="2">
        <f>C27+D27+E27+F27</f>
        <v>59</v>
      </c>
    </row>
    <row r="28" spans="1:7" x14ac:dyDescent="0.25">
      <c r="A28" s="2">
        <v>22</v>
      </c>
      <c r="B28" s="37" t="s">
        <v>209</v>
      </c>
      <c r="C28" s="2"/>
      <c r="D28" s="2">
        <v>6</v>
      </c>
      <c r="E28" s="2">
        <v>9</v>
      </c>
      <c r="F28" s="2">
        <v>12</v>
      </c>
      <c r="G28" s="2">
        <f>D28+E28+F28</f>
        <v>27</v>
      </c>
    </row>
    <row r="29" spans="1:7" x14ac:dyDescent="0.25">
      <c r="A29" s="2">
        <v>23</v>
      </c>
      <c r="B29" s="37" t="s">
        <v>210</v>
      </c>
      <c r="C29" s="2">
        <v>16</v>
      </c>
      <c r="D29" s="2">
        <v>18</v>
      </c>
      <c r="E29" s="2">
        <v>9</v>
      </c>
      <c r="F29" s="2">
        <v>17</v>
      </c>
      <c r="G29" s="2">
        <f>C29+D29+E29+F29</f>
        <v>60</v>
      </c>
    </row>
    <row r="30" spans="1:7" x14ac:dyDescent="0.25">
      <c r="A30" s="2">
        <v>24</v>
      </c>
      <c r="B30" s="37" t="s">
        <v>211</v>
      </c>
      <c r="C30" s="2">
        <v>14</v>
      </c>
      <c r="D30" s="2">
        <v>22</v>
      </c>
      <c r="E30" s="2">
        <v>17</v>
      </c>
      <c r="F30" s="2">
        <v>20</v>
      </c>
      <c r="G30" s="2">
        <f>C30+D30+E30+F30</f>
        <v>73</v>
      </c>
    </row>
    <row r="31" spans="1:7" x14ac:dyDescent="0.25">
      <c r="A31" s="2">
        <v>25</v>
      </c>
      <c r="B31" s="37" t="s">
        <v>212</v>
      </c>
      <c r="C31" s="2"/>
      <c r="D31" s="2">
        <v>22</v>
      </c>
      <c r="E31" s="2">
        <v>16</v>
      </c>
      <c r="F31" s="2">
        <v>18</v>
      </c>
      <c r="G31" s="2">
        <f>D31+E31+F31</f>
        <v>56</v>
      </c>
    </row>
    <row r="32" spans="1:7" x14ac:dyDescent="0.25">
      <c r="A32" s="2">
        <v>26</v>
      </c>
      <c r="B32" s="37" t="s">
        <v>213</v>
      </c>
      <c r="C32" s="2"/>
      <c r="D32" s="2">
        <v>21</v>
      </c>
      <c r="E32" s="2">
        <v>15</v>
      </c>
      <c r="F32" s="2">
        <v>14</v>
      </c>
      <c r="G32" s="2">
        <f>D32+E32+F32</f>
        <v>50</v>
      </c>
    </row>
    <row r="33" spans="1:7" x14ac:dyDescent="0.25">
      <c r="A33" s="2">
        <v>27</v>
      </c>
      <c r="B33" s="37" t="s">
        <v>214</v>
      </c>
      <c r="C33" s="2">
        <v>14</v>
      </c>
      <c r="D33" s="2">
        <v>19</v>
      </c>
      <c r="E33" s="2">
        <v>12</v>
      </c>
      <c r="F33" s="2">
        <v>13</v>
      </c>
      <c r="G33" s="2">
        <f>C33+D33+E33+F33</f>
        <v>58</v>
      </c>
    </row>
    <row r="34" spans="1:7" x14ac:dyDescent="0.25">
      <c r="A34" s="2">
        <v>28</v>
      </c>
      <c r="B34" s="37" t="s">
        <v>215</v>
      </c>
      <c r="C34" s="2">
        <v>15</v>
      </c>
      <c r="D34" s="2">
        <v>18</v>
      </c>
      <c r="E34" s="2">
        <v>11</v>
      </c>
      <c r="F34" s="2">
        <v>15</v>
      </c>
      <c r="G34" s="2">
        <f>C34+D34+E34+F34</f>
        <v>59</v>
      </c>
    </row>
    <row r="35" spans="1:7" x14ac:dyDescent="0.25">
      <c r="A35" s="2">
        <v>29</v>
      </c>
      <c r="B35" s="37" t="s">
        <v>216</v>
      </c>
      <c r="C35" s="2">
        <v>9</v>
      </c>
      <c r="D35" s="2">
        <v>9</v>
      </c>
      <c r="E35" s="2">
        <v>16</v>
      </c>
      <c r="F35" s="2">
        <v>12</v>
      </c>
      <c r="G35" s="2">
        <f>C35+D35+E35+F35</f>
        <v>46</v>
      </c>
    </row>
    <row r="36" spans="1:7" x14ac:dyDescent="0.25">
      <c r="A36" s="2">
        <v>30</v>
      </c>
      <c r="B36" s="37" t="s">
        <v>217</v>
      </c>
      <c r="C36" s="2">
        <v>4</v>
      </c>
      <c r="D36" s="2">
        <v>14</v>
      </c>
      <c r="E36" s="2">
        <v>6</v>
      </c>
      <c r="F36" s="2">
        <v>13</v>
      </c>
      <c r="G36" s="2">
        <f>C36+D36+E36+F36</f>
        <v>37</v>
      </c>
    </row>
    <row r="37" spans="1:7" x14ac:dyDescent="0.25">
      <c r="A37" s="2">
        <v>31</v>
      </c>
      <c r="B37" s="37" t="s">
        <v>218</v>
      </c>
      <c r="C37" s="2"/>
      <c r="D37" s="2">
        <v>14</v>
      </c>
      <c r="E37" s="2">
        <v>12</v>
      </c>
      <c r="F37" s="2">
        <v>19</v>
      </c>
      <c r="G37" s="2">
        <f>D37+E37+F37</f>
        <v>45</v>
      </c>
    </row>
    <row r="38" spans="1:7" x14ac:dyDescent="0.25">
      <c r="A38" s="2">
        <v>32</v>
      </c>
      <c r="B38" s="37" t="s">
        <v>219</v>
      </c>
      <c r="C38" s="2">
        <v>12</v>
      </c>
      <c r="D38" s="2">
        <v>21</v>
      </c>
      <c r="E38" s="2">
        <v>14</v>
      </c>
      <c r="F38" s="2">
        <v>19</v>
      </c>
      <c r="G38" s="2">
        <f>C38+D38+E38+F38</f>
        <v>66</v>
      </c>
    </row>
    <row r="39" spans="1:7" x14ac:dyDescent="0.25">
      <c r="A39" s="2">
        <v>33</v>
      </c>
      <c r="B39" s="39" t="s">
        <v>220</v>
      </c>
      <c r="C39" s="2">
        <v>15</v>
      </c>
      <c r="D39" s="2">
        <v>19</v>
      </c>
      <c r="E39" s="2">
        <v>17</v>
      </c>
      <c r="F39" s="2">
        <v>15</v>
      </c>
      <c r="G39" s="2">
        <f>C39+D39+E39+F39</f>
        <v>66</v>
      </c>
    </row>
    <row r="40" spans="1:7" x14ac:dyDescent="0.25">
      <c r="A40" s="2">
        <v>34</v>
      </c>
      <c r="B40" s="37" t="s">
        <v>221</v>
      </c>
      <c r="C40" s="2">
        <v>9</v>
      </c>
      <c r="D40" s="2">
        <v>18</v>
      </c>
      <c r="E40" s="2">
        <v>17</v>
      </c>
      <c r="F40" s="2">
        <v>13</v>
      </c>
      <c r="G40" s="2">
        <f>C40+D40+E40+F40</f>
        <v>57</v>
      </c>
    </row>
    <row r="41" spans="1:7" x14ac:dyDescent="0.25">
      <c r="A41" s="2">
        <v>35</v>
      </c>
      <c r="B41" s="37" t="s">
        <v>222</v>
      </c>
      <c r="C41" s="2">
        <v>16</v>
      </c>
      <c r="D41" s="2">
        <v>19</v>
      </c>
      <c r="E41" s="2">
        <v>13</v>
      </c>
      <c r="F41" s="2">
        <v>18</v>
      </c>
      <c r="G41" s="2">
        <f>C41+D41+E41+F41</f>
        <v>66</v>
      </c>
    </row>
    <row r="42" spans="1:7" x14ac:dyDescent="0.25">
      <c r="A42" s="2">
        <v>36</v>
      </c>
      <c r="B42" s="37" t="s">
        <v>223</v>
      </c>
      <c r="C42" s="2"/>
      <c r="D42" s="2">
        <v>20</v>
      </c>
      <c r="E42" s="2">
        <v>16</v>
      </c>
      <c r="F42" s="2">
        <v>20</v>
      </c>
      <c r="G42" s="2">
        <f>D42+E42+F42</f>
        <v>56</v>
      </c>
    </row>
    <row r="43" spans="1:7" x14ac:dyDescent="0.25">
      <c r="A43" s="2">
        <v>37</v>
      </c>
      <c r="B43" s="37" t="s">
        <v>224</v>
      </c>
      <c r="C43" s="2">
        <v>16</v>
      </c>
      <c r="D43" s="2">
        <v>21</v>
      </c>
      <c r="E43" s="2">
        <v>14</v>
      </c>
      <c r="F43" s="2">
        <v>15</v>
      </c>
      <c r="G43" s="2">
        <f t="shared" ref="G43:G53" si="1">C43+D43+E43+F43</f>
        <v>66</v>
      </c>
    </row>
    <row r="44" spans="1:7" x14ac:dyDescent="0.25">
      <c r="A44" s="2">
        <v>38</v>
      </c>
      <c r="B44" s="37" t="s">
        <v>225</v>
      </c>
      <c r="C44" s="2">
        <v>15</v>
      </c>
      <c r="D44" s="2">
        <v>20</v>
      </c>
      <c r="E44" s="2">
        <v>11</v>
      </c>
      <c r="F44" s="2">
        <v>12</v>
      </c>
      <c r="G44" s="2">
        <f t="shared" si="1"/>
        <v>58</v>
      </c>
    </row>
    <row r="45" spans="1:7" x14ac:dyDescent="0.25">
      <c r="A45" s="2">
        <v>39</v>
      </c>
      <c r="B45" s="37" t="s">
        <v>226</v>
      </c>
      <c r="C45" s="2">
        <v>15</v>
      </c>
      <c r="D45" s="2">
        <v>22</v>
      </c>
      <c r="E45" s="2">
        <v>14</v>
      </c>
      <c r="F45" s="2">
        <v>20</v>
      </c>
      <c r="G45" s="2">
        <f t="shared" si="1"/>
        <v>71</v>
      </c>
    </row>
    <row r="46" spans="1:7" x14ac:dyDescent="0.25">
      <c r="A46" s="2">
        <v>40</v>
      </c>
      <c r="B46" s="37" t="s">
        <v>227</v>
      </c>
      <c r="C46" s="2">
        <v>16</v>
      </c>
      <c r="D46" s="2">
        <v>22</v>
      </c>
      <c r="E46" s="2">
        <v>11</v>
      </c>
      <c r="F46" s="2">
        <v>15</v>
      </c>
      <c r="G46" s="2">
        <f t="shared" si="1"/>
        <v>64</v>
      </c>
    </row>
    <row r="47" spans="1:7" x14ac:dyDescent="0.25">
      <c r="A47" s="2">
        <v>41</v>
      </c>
      <c r="B47" s="38" t="s">
        <v>228</v>
      </c>
      <c r="C47" s="2">
        <v>17</v>
      </c>
      <c r="D47" s="2">
        <v>22</v>
      </c>
      <c r="E47" s="2">
        <v>17</v>
      </c>
      <c r="F47" s="2">
        <v>21</v>
      </c>
      <c r="G47" s="2">
        <f t="shared" si="1"/>
        <v>77</v>
      </c>
    </row>
    <row r="48" spans="1:7" x14ac:dyDescent="0.25">
      <c r="A48" s="2">
        <v>42</v>
      </c>
      <c r="B48" s="37" t="s">
        <v>229</v>
      </c>
      <c r="C48" s="2">
        <v>15</v>
      </c>
      <c r="D48" s="2">
        <v>18</v>
      </c>
      <c r="E48" s="2">
        <v>17</v>
      </c>
      <c r="F48" s="2">
        <v>15</v>
      </c>
      <c r="G48" s="2">
        <f t="shared" si="1"/>
        <v>65</v>
      </c>
    </row>
    <row r="49" spans="1:7" x14ac:dyDescent="0.25">
      <c r="A49" s="2">
        <v>43</v>
      </c>
      <c r="B49" s="40" t="s">
        <v>230</v>
      </c>
      <c r="C49" s="2">
        <v>13</v>
      </c>
      <c r="D49" s="2">
        <v>12</v>
      </c>
      <c r="E49" s="2">
        <v>12</v>
      </c>
      <c r="F49" s="2">
        <v>8</v>
      </c>
      <c r="G49" s="2">
        <f t="shared" si="1"/>
        <v>45</v>
      </c>
    </row>
    <row r="50" spans="1:7" x14ac:dyDescent="0.25">
      <c r="A50" s="2">
        <v>44</v>
      </c>
      <c r="B50" s="37" t="s">
        <v>231</v>
      </c>
      <c r="C50" s="2">
        <v>16</v>
      </c>
      <c r="D50" s="2">
        <v>20</v>
      </c>
      <c r="E50" s="2">
        <v>15</v>
      </c>
      <c r="F50" s="2">
        <v>19</v>
      </c>
      <c r="G50" s="2">
        <f t="shared" si="1"/>
        <v>70</v>
      </c>
    </row>
    <row r="51" spans="1:7" x14ac:dyDescent="0.25">
      <c r="A51" s="2">
        <v>45</v>
      </c>
      <c r="B51" s="37" t="s">
        <v>232</v>
      </c>
      <c r="C51" s="2">
        <v>1</v>
      </c>
      <c r="D51" s="2">
        <v>17</v>
      </c>
      <c r="E51" s="2">
        <v>12</v>
      </c>
      <c r="F51" s="2">
        <v>17</v>
      </c>
      <c r="G51" s="2">
        <f t="shared" si="1"/>
        <v>47</v>
      </c>
    </row>
    <row r="52" spans="1:7" x14ac:dyDescent="0.25">
      <c r="A52" s="2">
        <v>46</v>
      </c>
      <c r="B52" s="37" t="s">
        <v>233</v>
      </c>
      <c r="C52" s="2">
        <v>17</v>
      </c>
      <c r="D52" s="2">
        <v>22</v>
      </c>
      <c r="E52" s="2">
        <v>17</v>
      </c>
      <c r="F52" s="2">
        <v>19</v>
      </c>
      <c r="G52" s="2">
        <f t="shared" si="1"/>
        <v>75</v>
      </c>
    </row>
    <row r="53" spans="1:7" x14ac:dyDescent="0.25">
      <c r="A53" s="2">
        <v>47</v>
      </c>
      <c r="B53" s="37" t="s">
        <v>234</v>
      </c>
      <c r="C53" s="2">
        <v>17</v>
      </c>
      <c r="D53" s="2">
        <v>22</v>
      </c>
      <c r="E53" s="2">
        <v>12</v>
      </c>
      <c r="F53" s="2">
        <v>18</v>
      </c>
      <c r="G53" s="2">
        <f t="shared" si="1"/>
        <v>69</v>
      </c>
    </row>
    <row r="54" spans="1:7" x14ac:dyDescent="0.25">
      <c r="A54" s="2">
        <v>48</v>
      </c>
      <c r="B54" s="37" t="s">
        <v>235</v>
      </c>
      <c r="C54" s="2"/>
      <c r="D54" s="2">
        <v>17</v>
      </c>
      <c r="E54" s="2">
        <v>17</v>
      </c>
      <c r="F54" s="2">
        <v>18</v>
      </c>
      <c r="G54" s="2">
        <f>D54+E54+F54</f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opLeftCell="A13" workbookViewId="0">
      <selection activeCell="D10" sqref="D10"/>
    </sheetView>
  </sheetViews>
  <sheetFormatPr defaultRowHeight="15" x14ac:dyDescent="0.25"/>
  <cols>
    <col min="2" max="2" width="24.85546875" style="47" customWidth="1"/>
    <col min="3" max="3" width="20.42578125" style="25" customWidth="1"/>
    <col min="4" max="4" width="19.5703125" style="25" customWidth="1"/>
    <col min="5" max="5" width="19.7109375" style="25" customWidth="1"/>
    <col min="6" max="6" width="18.5703125" style="25" customWidth="1"/>
    <col min="7" max="7" width="19.140625" style="25" customWidth="1"/>
  </cols>
  <sheetData>
    <row r="1" spans="1:7" ht="20.25" x14ac:dyDescent="0.3">
      <c r="A1" s="32"/>
      <c r="B1" s="44"/>
      <c r="C1" s="31"/>
      <c r="D1" s="31" t="s">
        <v>134</v>
      </c>
      <c r="E1" s="31"/>
      <c r="F1" s="32"/>
      <c r="G1" s="32"/>
    </row>
    <row r="2" spans="1:7" ht="20.25" x14ac:dyDescent="0.3">
      <c r="A2" s="32"/>
      <c r="B2" s="44"/>
      <c r="C2" s="31"/>
      <c r="D2" s="31" t="s">
        <v>135</v>
      </c>
      <c r="E2" s="31"/>
      <c r="F2" s="32"/>
      <c r="G2" s="32"/>
    </row>
    <row r="3" spans="1:7" ht="20.25" x14ac:dyDescent="0.3">
      <c r="A3" s="32"/>
      <c r="B3" s="44"/>
      <c r="C3" s="31"/>
      <c r="D3" s="31" t="s">
        <v>277</v>
      </c>
      <c r="E3" s="31"/>
      <c r="F3" s="32"/>
      <c r="G3" s="32"/>
    </row>
    <row r="4" spans="1:7" x14ac:dyDescent="0.25">
      <c r="A4" s="3" t="s">
        <v>1</v>
      </c>
      <c r="B4" s="36" t="s">
        <v>2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4</v>
      </c>
    </row>
    <row r="5" spans="1:7" x14ac:dyDescent="0.25">
      <c r="A5" s="5"/>
      <c r="B5" s="45"/>
      <c r="C5" s="53" t="s">
        <v>5</v>
      </c>
      <c r="D5" s="53" t="s">
        <v>111</v>
      </c>
      <c r="E5" s="53" t="s">
        <v>54</v>
      </c>
      <c r="F5" s="53" t="s">
        <v>187</v>
      </c>
      <c r="G5" s="7" t="s">
        <v>6</v>
      </c>
    </row>
    <row r="6" spans="1:7" x14ac:dyDescent="0.25">
      <c r="A6" s="9"/>
      <c r="B6" s="46"/>
      <c r="C6" s="11" t="s">
        <v>7</v>
      </c>
      <c r="D6" s="11" t="s">
        <v>8</v>
      </c>
      <c r="E6" s="11" t="s">
        <v>9</v>
      </c>
      <c r="F6" s="11" t="s">
        <v>10</v>
      </c>
      <c r="G6" s="12"/>
    </row>
    <row r="7" spans="1:7" ht="15.75" x14ac:dyDescent="0.25">
      <c r="A7" s="41">
        <v>1</v>
      </c>
      <c r="B7" s="15" t="s">
        <v>236</v>
      </c>
      <c r="C7" s="2">
        <v>14</v>
      </c>
      <c r="D7" s="2">
        <v>20</v>
      </c>
      <c r="E7" s="2">
        <v>15</v>
      </c>
      <c r="F7" s="2">
        <v>18</v>
      </c>
      <c r="G7" s="2">
        <f t="shared" ref="G7:G34" si="0">C7+D7+E7+F7</f>
        <v>67</v>
      </c>
    </row>
    <row r="8" spans="1:7" ht="15.75" x14ac:dyDescent="0.25">
      <c r="A8" s="41">
        <v>2</v>
      </c>
      <c r="B8" s="15" t="s">
        <v>237</v>
      </c>
      <c r="C8" s="2">
        <v>14</v>
      </c>
      <c r="D8" s="2">
        <v>18</v>
      </c>
      <c r="E8" s="2">
        <v>6</v>
      </c>
      <c r="F8" s="2">
        <v>16</v>
      </c>
      <c r="G8" s="2">
        <f t="shared" si="0"/>
        <v>54</v>
      </c>
    </row>
    <row r="9" spans="1:7" ht="15.75" x14ac:dyDescent="0.25">
      <c r="A9" s="41">
        <v>3</v>
      </c>
      <c r="B9" s="17" t="s">
        <v>238</v>
      </c>
      <c r="C9" s="2">
        <v>12</v>
      </c>
      <c r="D9" s="2">
        <v>18</v>
      </c>
      <c r="E9" s="2">
        <v>6</v>
      </c>
      <c r="F9" s="2">
        <v>17</v>
      </c>
      <c r="G9" s="2">
        <f t="shared" si="0"/>
        <v>53</v>
      </c>
    </row>
    <row r="10" spans="1:7" ht="15.75" x14ac:dyDescent="0.25">
      <c r="A10" s="41">
        <v>4</v>
      </c>
      <c r="B10" s="15" t="s">
        <v>239</v>
      </c>
      <c r="C10" s="2">
        <v>14</v>
      </c>
      <c r="D10" s="2">
        <v>16</v>
      </c>
      <c r="E10" s="2">
        <v>8</v>
      </c>
      <c r="F10" s="2">
        <v>13</v>
      </c>
      <c r="G10" s="2">
        <f t="shared" si="0"/>
        <v>51</v>
      </c>
    </row>
    <row r="11" spans="1:7" ht="15.75" x14ac:dyDescent="0.25">
      <c r="A11" s="41">
        <v>5</v>
      </c>
      <c r="B11" s="15" t="s">
        <v>240</v>
      </c>
      <c r="C11" s="2">
        <v>10</v>
      </c>
      <c r="D11" s="2">
        <v>15</v>
      </c>
      <c r="E11" s="2">
        <v>9</v>
      </c>
      <c r="F11" s="2">
        <v>13</v>
      </c>
      <c r="G11" s="2">
        <f t="shared" si="0"/>
        <v>47</v>
      </c>
    </row>
    <row r="12" spans="1:7" ht="15.75" x14ac:dyDescent="0.25">
      <c r="A12" s="41">
        <v>6</v>
      </c>
      <c r="B12" s="15" t="s">
        <v>241</v>
      </c>
      <c r="C12" s="2">
        <v>15</v>
      </c>
      <c r="D12" s="2">
        <v>17</v>
      </c>
      <c r="E12" s="2">
        <v>12</v>
      </c>
      <c r="F12" s="2">
        <v>13</v>
      </c>
      <c r="G12" s="2">
        <f t="shared" si="0"/>
        <v>57</v>
      </c>
    </row>
    <row r="13" spans="1:7" ht="15.75" x14ac:dyDescent="0.25">
      <c r="A13" s="41">
        <v>7</v>
      </c>
      <c r="B13" s="17" t="s">
        <v>242</v>
      </c>
      <c r="C13" s="2">
        <v>14</v>
      </c>
      <c r="D13" s="2">
        <v>18</v>
      </c>
      <c r="E13" s="2">
        <v>11</v>
      </c>
      <c r="F13" s="2">
        <v>14</v>
      </c>
      <c r="G13" s="2">
        <f t="shared" si="0"/>
        <v>57</v>
      </c>
    </row>
    <row r="14" spans="1:7" ht="15.75" x14ac:dyDescent="0.25">
      <c r="A14" s="41">
        <v>8</v>
      </c>
      <c r="B14" s="15" t="s">
        <v>243</v>
      </c>
      <c r="C14" s="2">
        <v>11</v>
      </c>
      <c r="D14" s="2">
        <v>18</v>
      </c>
      <c r="E14" s="2">
        <v>9</v>
      </c>
      <c r="F14" s="2">
        <v>10</v>
      </c>
      <c r="G14" s="2">
        <f t="shared" si="0"/>
        <v>48</v>
      </c>
    </row>
    <row r="15" spans="1:7" ht="15.75" x14ac:dyDescent="0.25">
      <c r="A15" s="41">
        <v>9</v>
      </c>
      <c r="B15" s="15" t="s">
        <v>244</v>
      </c>
      <c r="C15" s="2">
        <v>13</v>
      </c>
      <c r="D15" s="2">
        <v>15</v>
      </c>
      <c r="E15" s="2">
        <v>8</v>
      </c>
      <c r="F15" s="2">
        <v>11</v>
      </c>
      <c r="G15" s="2">
        <f t="shared" si="0"/>
        <v>47</v>
      </c>
    </row>
    <row r="16" spans="1:7" ht="15.75" x14ac:dyDescent="0.25">
      <c r="A16" s="41">
        <v>10</v>
      </c>
      <c r="B16" s="15" t="s">
        <v>245</v>
      </c>
      <c r="C16" s="2">
        <v>12</v>
      </c>
      <c r="D16" s="2">
        <v>5</v>
      </c>
      <c r="E16" s="2">
        <v>5</v>
      </c>
      <c r="F16" s="2">
        <v>14</v>
      </c>
      <c r="G16" s="2">
        <f t="shared" si="0"/>
        <v>36</v>
      </c>
    </row>
    <row r="17" spans="1:7" ht="15.75" x14ac:dyDescent="0.25">
      <c r="A17" s="41">
        <v>11</v>
      </c>
      <c r="B17" s="15" t="s">
        <v>246</v>
      </c>
      <c r="C17" s="2">
        <v>6</v>
      </c>
      <c r="D17" s="2">
        <v>13</v>
      </c>
      <c r="E17" s="2">
        <v>14</v>
      </c>
      <c r="F17" s="2">
        <v>20</v>
      </c>
      <c r="G17" s="2">
        <f t="shared" si="0"/>
        <v>53</v>
      </c>
    </row>
    <row r="18" spans="1:7" ht="15.75" x14ac:dyDescent="0.25">
      <c r="A18" s="41">
        <v>12</v>
      </c>
      <c r="B18" s="17" t="s">
        <v>247</v>
      </c>
      <c r="C18" s="2">
        <v>15</v>
      </c>
      <c r="D18" s="2">
        <v>20</v>
      </c>
      <c r="E18" s="2">
        <v>15</v>
      </c>
      <c r="F18" s="2">
        <v>19</v>
      </c>
      <c r="G18" s="2">
        <f t="shared" si="0"/>
        <v>69</v>
      </c>
    </row>
    <row r="19" spans="1:7" ht="15.75" x14ac:dyDescent="0.25">
      <c r="A19" s="41">
        <v>13</v>
      </c>
      <c r="B19" s="15" t="s">
        <v>248</v>
      </c>
      <c r="C19" s="2">
        <v>17</v>
      </c>
      <c r="D19" s="2">
        <v>22</v>
      </c>
      <c r="E19" s="2">
        <v>13</v>
      </c>
      <c r="F19" s="2">
        <v>19</v>
      </c>
      <c r="G19" s="2">
        <f t="shared" si="0"/>
        <v>71</v>
      </c>
    </row>
    <row r="20" spans="1:7" ht="15.75" x14ac:dyDescent="0.25">
      <c r="A20" s="41">
        <v>14</v>
      </c>
      <c r="B20" s="15" t="s">
        <v>249</v>
      </c>
      <c r="C20" s="2">
        <v>14</v>
      </c>
      <c r="D20" s="2">
        <v>21</v>
      </c>
      <c r="E20" s="2">
        <v>12</v>
      </c>
      <c r="F20" s="2">
        <v>15</v>
      </c>
      <c r="G20" s="2">
        <f t="shared" si="0"/>
        <v>62</v>
      </c>
    </row>
    <row r="21" spans="1:7" ht="15.75" x14ac:dyDescent="0.25">
      <c r="A21" s="41">
        <v>15</v>
      </c>
      <c r="B21" s="15" t="s">
        <v>250</v>
      </c>
      <c r="C21" s="2">
        <v>14</v>
      </c>
      <c r="D21" s="2">
        <v>16</v>
      </c>
      <c r="E21" s="2">
        <v>11</v>
      </c>
      <c r="F21" s="2">
        <v>12</v>
      </c>
      <c r="G21" s="2">
        <f t="shared" si="0"/>
        <v>53</v>
      </c>
    </row>
    <row r="22" spans="1:7" ht="15.75" x14ac:dyDescent="0.25">
      <c r="A22" s="41">
        <v>16</v>
      </c>
      <c r="B22" s="15" t="s">
        <v>251</v>
      </c>
      <c r="C22" s="2">
        <v>14</v>
      </c>
      <c r="D22" s="2">
        <v>17</v>
      </c>
      <c r="E22" s="2">
        <v>12</v>
      </c>
      <c r="F22" s="2">
        <v>12</v>
      </c>
      <c r="G22" s="2">
        <f t="shared" si="0"/>
        <v>55</v>
      </c>
    </row>
    <row r="23" spans="1:7" ht="15.75" x14ac:dyDescent="0.25">
      <c r="A23" s="41">
        <v>17</v>
      </c>
      <c r="B23" s="15" t="s">
        <v>252</v>
      </c>
      <c r="C23" s="2">
        <v>14</v>
      </c>
      <c r="D23" s="2">
        <v>19</v>
      </c>
      <c r="E23" s="2">
        <v>10</v>
      </c>
      <c r="F23" s="2">
        <v>16</v>
      </c>
      <c r="G23" s="2">
        <f t="shared" si="0"/>
        <v>59</v>
      </c>
    </row>
    <row r="24" spans="1:7" ht="15.75" x14ac:dyDescent="0.25">
      <c r="A24" s="41">
        <v>18</v>
      </c>
      <c r="B24" s="15" t="s">
        <v>253</v>
      </c>
      <c r="C24" s="2">
        <v>8</v>
      </c>
      <c r="D24" s="2">
        <v>6</v>
      </c>
      <c r="E24" s="2">
        <v>5</v>
      </c>
      <c r="F24" s="2">
        <v>4</v>
      </c>
      <c r="G24" s="2">
        <f t="shared" si="0"/>
        <v>23</v>
      </c>
    </row>
    <row r="25" spans="1:7" ht="15.75" x14ac:dyDescent="0.25">
      <c r="A25" s="41">
        <v>19</v>
      </c>
      <c r="B25" s="15" t="s">
        <v>254</v>
      </c>
      <c r="C25" s="2">
        <v>7</v>
      </c>
      <c r="D25" s="2">
        <v>2</v>
      </c>
      <c r="E25" s="2">
        <v>10</v>
      </c>
      <c r="F25" s="2">
        <v>11</v>
      </c>
      <c r="G25" s="2">
        <f t="shared" si="0"/>
        <v>30</v>
      </c>
    </row>
    <row r="26" spans="1:7" ht="15.75" x14ac:dyDescent="0.25">
      <c r="A26" s="41">
        <v>20</v>
      </c>
      <c r="B26" s="17" t="s">
        <v>255</v>
      </c>
      <c r="C26" s="2">
        <v>4</v>
      </c>
      <c r="D26" s="2">
        <v>6</v>
      </c>
      <c r="E26" s="2">
        <v>2</v>
      </c>
      <c r="F26" s="2">
        <v>6</v>
      </c>
      <c r="G26" s="2">
        <f t="shared" si="0"/>
        <v>18</v>
      </c>
    </row>
    <row r="27" spans="1:7" ht="15.75" x14ac:dyDescent="0.25">
      <c r="A27" s="41">
        <v>21</v>
      </c>
      <c r="B27" s="15" t="s">
        <v>256</v>
      </c>
      <c r="C27" s="2">
        <v>6</v>
      </c>
      <c r="D27" s="2">
        <v>10</v>
      </c>
      <c r="E27" s="2">
        <v>15</v>
      </c>
      <c r="F27" s="2">
        <v>16</v>
      </c>
      <c r="G27" s="2">
        <f t="shared" si="0"/>
        <v>47</v>
      </c>
    </row>
    <row r="28" spans="1:7" ht="15.75" x14ac:dyDescent="0.25">
      <c r="A28" s="41">
        <v>22</v>
      </c>
      <c r="B28" s="15" t="s">
        <v>257</v>
      </c>
      <c r="C28" s="2">
        <v>15</v>
      </c>
      <c r="D28" s="2">
        <v>18</v>
      </c>
      <c r="E28" s="2">
        <v>11</v>
      </c>
      <c r="F28" s="2">
        <v>18</v>
      </c>
      <c r="G28" s="2">
        <f t="shared" si="0"/>
        <v>62</v>
      </c>
    </row>
    <row r="29" spans="1:7" ht="15.75" x14ac:dyDescent="0.25">
      <c r="A29" s="41">
        <v>23</v>
      </c>
      <c r="B29" s="15" t="s">
        <v>258</v>
      </c>
      <c r="C29" s="2">
        <v>14</v>
      </c>
      <c r="D29" s="2">
        <v>20</v>
      </c>
      <c r="E29" s="2">
        <v>12</v>
      </c>
      <c r="F29" s="2">
        <v>18</v>
      </c>
      <c r="G29" s="2">
        <f t="shared" si="0"/>
        <v>64</v>
      </c>
    </row>
    <row r="30" spans="1:7" ht="15.75" x14ac:dyDescent="0.25">
      <c r="A30" s="41">
        <v>24</v>
      </c>
      <c r="B30" s="15" t="s">
        <v>259</v>
      </c>
      <c r="C30" s="2">
        <v>10</v>
      </c>
      <c r="D30" s="2">
        <v>17</v>
      </c>
      <c r="E30" s="2">
        <v>10</v>
      </c>
      <c r="F30" s="2">
        <v>15</v>
      </c>
      <c r="G30" s="2">
        <f t="shared" si="0"/>
        <v>52</v>
      </c>
    </row>
    <row r="31" spans="1:7" ht="15.75" x14ac:dyDescent="0.25">
      <c r="A31" s="41">
        <v>25</v>
      </c>
      <c r="B31" s="15" t="s">
        <v>260</v>
      </c>
      <c r="C31" s="2">
        <v>13</v>
      </c>
      <c r="D31" s="2">
        <v>15</v>
      </c>
      <c r="E31" s="2">
        <v>11</v>
      </c>
      <c r="F31" s="2">
        <v>11</v>
      </c>
      <c r="G31" s="2">
        <f t="shared" si="0"/>
        <v>50</v>
      </c>
    </row>
    <row r="32" spans="1:7" ht="15.75" x14ac:dyDescent="0.25">
      <c r="A32" s="41">
        <v>26</v>
      </c>
      <c r="B32" s="15" t="s">
        <v>261</v>
      </c>
      <c r="C32" s="2">
        <v>13</v>
      </c>
      <c r="D32" s="2">
        <v>17</v>
      </c>
      <c r="E32" s="2">
        <v>11</v>
      </c>
      <c r="F32" s="2">
        <v>18</v>
      </c>
      <c r="G32" s="2">
        <f t="shared" si="0"/>
        <v>59</v>
      </c>
    </row>
    <row r="33" spans="1:7" ht="15.75" x14ac:dyDescent="0.25">
      <c r="A33" s="41">
        <v>27</v>
      </c>
      <c r="B33" s="15" t="s">
        <v>262</v>
      </c>
      <c r="C33" s="2">
        <v>12</v>
      </c>
      <c r="D33" s="2">
        <v>15</v>
      </c>
      <c r="E33" s="2">
        <v>10</v>
      </c>
      <c r="F33" s="2">
        <v>14</v>
      </c>
      <c r="G33" s="2">
        <f t="shared" si="0"/>
        <v>51</v>
      </c>
    </row>
    <row r="34" spans="1:7" ht="15.75" x14ac:dyDescent="0.25">
      <c r="A34" s="41">
        <v>28</v>
      </c>
      <c r="B34" s="17" t="s">
        <v>263</v>
      </c>
      <c r="C34" s="2">
        <v>14</v>
      </c>
      <c r="D34" s="2">
        <v>17</v>
      </c>
      <c r="E34" s="2">
        <v>13</v>
      </c>
      <c r="F34" s="2">
        <v>18</v>
      </c>
      <c r="G34" s="2">
        <f t="shared" si="0"/>
        <v>62</v>
      </c>
    </row>
    <row r="35" spans="1:7" ht="15.75" x14ac:dyDescent="0.25">
      <c r="A35" s="41">
        <v>29</v>
      </c>
      <c r="B35" s="16" t="s">
        <v>264</v>
      </c>
      <c r="C35" s="2">
        <v>11</v>
      </c>
      <c r="D35" s="2">
        <v>9</v>
      </c>
      <c r="E35" s="2">
        <v>5</v>
      </c>
      <c r="F35" s="2">
        <v>8</v>
      </c>
      <c r="G35" s="2">
        <f>C35+D35+F35+E35</f>
        <v>33</v>
      </c>
    </row>
    <row r="36" spans="1:7" ht="15.75" x14ac:dyDescent="0.25">
      <c r="A36" s="41">
        <v>30</v>
      </c>
      <c r="B36" s="43" t="s">
        <v>265</v>
      </c>
      <c r="C36" s="2">
        <v>14</v>
      </c>
      <c r="D36" s="2">
        <v>20</v>
      </c>
      <c r="E36" s="2">
        <v>16</v>
      </c>
      <c r="F36" s="2">
        <v>17</v>
      </c>
      <c r="G36" s="2">
        <f t="shared" ref="G36:G48" si="1">C36+D36+E36+F36</f>
        <v>67</v>
      </c>
    </row>
    <row r="37" spans="1:7" ht="15.75" x14ac:dyDescent="0.25">
      <c r="A37" s="41">
        <v>31</v>
      </c>
      <c r="B37" s="15" t="s">
        <v>266</v>
      </c>
      <c r="C37" s="2">
        <v>10</v>
      </c>
      <c r="D37" s="2">
        <v>16</v>
      </c>
      <c r="E37" s="2">
        <v>10</v>
      </c>
      <c r="F37" s="2">
        <v>11</v>
      </c>
      <c r="G37" s="2">
        <f t="shared" si="1"/>
        <v>47</v>
      </c>
    </row>
    <row r="38" spans="1:7" ht="15.75" x14ac:dyDescent="0.25">
      <c r="A38" s="41">
        <v>32</v>
      </c>
      <c r="B38" s="15" t="s">
        <v>267</v>
      </c>
      <c r="C38" s="2">
        <v>13</v>
      </c>
      <c r="D38" s="2">
        <v>14</v>
      </c>
      <c r="E38" s="2">
        <v>8</v>
      </c>
      <c r="F38" s="2">
        <v>13</v>
      </c>
      <c r="G38" s="2">
        <f t="shared" si="1"/>
        <v>48</v>
      </c>
    </row>
    <row r="39" spans="1:7" ht="15.75" x14ac:dyDescent="0.25">
      <c r="A39" s="41">
        <v>33</v>
      </c>
      <c r="B39" s="15" t="s">
        <v>268</v>
      </c>
      <c r="C39" s="2">
        <v>11</v>
      </c>
      <c r="D39" s="2">
        <v>8</v>
      </c>
      <c r="E39" s="2">
        <v>6</v>
      </c>
      <c r="F39" s="2">
        <v>15</v>
      </c>
      <c r="G39" s="2">
        <f t="shared" si="1"/>
        <v>40</v>
      </c>
    </row>
    <row r="40" spans="1:7" ht="15.75" x14ac:dyDescent="0.25">
      <c r="A40" s="41">
        <v>34</v>
      </c>
      <c r="B40" s="16" t="s">
        <v>269</v>
      </c>
      <c r="C40" s="2">
        <v>12</v>
      </c>
      <c r="D40" s="2">
        <v>12</v>
      </c>
      <c r="E40" s="2">
        <v>10</v>
      </c>
      <c r="F40" s="2">
        <v>13</v>
      </c>
      <c r="G40" s="2">
        <f t="shared" si="1"/>
        <v>47</v>
      </c>
    </row>
    <row r="41" spans="1:7" ht="15.75" x14ac:dyDescent="0.25">
      <c r="A41" s="41">
        <v>35</v>
      </c>
      <c r="B41" s="15" t="s">
        <v>270</v>
      </c>
      <c r="C41" s="2">
        <v>11</v>
      </c>
      <c r="D41" s="2">
        <v>7</v>
      </c>
      <c r="E41" s="2">
        <v>7</v>
      </c>
      <c r="F41" s="2">
        <v>11</v>
      </c>
      <c r="G41" s="2">
        <f t="shared" si="1"/>
        <v>36</v>
      </c>
    </row>
    <row r="42" spans="1:7" ht="15.75" x14ac:dyDescent="0.25">
      <c r="A42" s="41">
        <v>36</v>
      </c>
      <c r="B42" s="15" t="s">
        <v>271</v>
      </c>
      <c r="C42" s="2">
        <v>15</v>
      </c>
      <c r="D42" s="2">
        <v>18</v>
      </c>
      <c r="E42" s="2">
        <v>11</v>
      </c>
      <c r="F42" s="2">
        <v>15</v>
      </c>
      <c r="G42" s="2">
        <f t="shared" si="1"/>
        <v>59</v>
      </c>
    </row>
    <row r="43" spans="1:7" ht="15.75" x14ac:dyDescent="0.25">
      <c r="A43" s="41">
        <v>37</v>
      </c>
      <c r="B43" s="15" t="s">
        <v>272</v>
      </c>
      <c r="C43" s="2">
        <v>17</v>
      </c>
      <c r="D43" s="2">
        <v>20</v>
      </c>
      <c r="E43" s="2">
        <v>13</v>
      </c>
      <c r="F43" s="2">
        <v>20</v>
      </c>
      <c r="G43" s="2">
        <f t="shared" si="1"/>
        <v>70</v>
      </c>
    </row>
    <row r="44" spans="1:7" ht="15.75" x14ac:dyDescent="0.25">
      <c r="A44" s="41">
        <v>38</v>
      </c>
      <c r="B44" s="17" t="s">
        <v>273</v>
      </c>
      <c r="C44" s="2">
        <v>12</v>
      </c>
      <c r="D44" s="2">
        <v>20</v>
      </c>
      <c r="E44" s="2">
        <v>10</v>
      </c>
      <c r="F44" s="2">
        <v>16</v>
      </c>
      <c r="G44" s="2">
        <f t="shared" si="1"/>
        <v>58</v>
      </c>
    </row>
    <row r="45" spans="1:7" ht="15.75" x14ac:dyDescent="0.25">
      <c r="A45" s="41">
        <v>39</v>
      </c>
      <c r="B45" s="15" t="s">
        <v>274</v>
      </c>
      <c r="C45" s="2">
        <v>15</v>
      </c>
      <c r="D45" s="2">
        <v>19</v>
      </c>
      <c r="E45" s="2">
        <v>17</v>
      </c>
      <c r="F45" s="2">
        <v>17</v>
      </c>
      <c r="G45" s="2">
        <f t="shared" si="1"/>
        <v>68</v>
      </c>
    </row>
    <row r="46" spans="1:7" ht="15.75" x14ac:dyDescent="0.25">
      <c r="A46" s="41">
        <v>40</v>
      </c>
      <c r="B46" s="15" t="s">
        <v>275</v>
      </c>
      <c r="C46" s="2">
        <v>8</v>
      </c>
      <c r="D46" s="2">
        <v>7</v>
      </c>
      <c r="E46" s="2">
        <v>7</v>
      </c>
      <c r="F46" s="2">
        <v>5</v>
      </c>
      <c r="G46" s="2">
        <f t="shared" si="1"/>
        <v>27</v>
      </c>
    </row>
    <row r="47" spans="1:7" ht="15.75" x14ac:dyDescent="0.25">
      <c r="A47" s="41">
        <v>41</v>
      </c>
      <c r="B47" s="15" t="s">
        <v>276</v>
      </c>
      <c r="C47" s="2">
        <v>14</v>
      </c>
      <c r="D47" s="2">
        <v>19</v>
      </c>
      <c r="E47" s="2">
        <v>15</v>
      </c>
      <c r="F47" s="2">
        <v>14</v>
      </c>
      <c r="G47" s="2">
        <f t="shared" si="1"/>
        <v>62</v>
      </c>
    </row>
    <row r="48" spans="1:7" ht="15.75" x14ac:dyDescent="0.25">
      <c r="A48" s="41">
        <v>42</v>
      </c>
      <c r="B48" s="15" t="s">
        <v>392</v>
      </c>
      <c r="C48" s="2">
        <v>5</v>
      </c>
      <c r="D48" s="2">
        <v>3</v>
      </c>
      <c r="E48" s="2">
        <v>5</v>
      </c>
      <c r="F48" s="27">
        <v>10</v>
      </c>
      <c r="G48" s="2">
        <f t="shared" si="1"/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A10" workbookViewId="0">
      <selection activeCell="G5" sqref="G5"/>
    </sheetView>
  </sheetViews>
  <sheetFormatPr defaultRowHeight="15" x14ac:dyDescent="0.25"/>
  <cols>
    <col min="2" max="2" width="22" customWidth="1"/>
    <col min="3" max="3" width="21" style="25" customWidth="1"/>
    <col min="4" max="4" width="19.5703125" style="25" customWidth="1"/>
    <col min="5" max="5" width="20.140625" style="25" customWidth="1"/>
    <col min="6" max="6" width="19" style="25" customWidth="1"/>
    <col min="7" max="7" width="19.42578125" customWidth="1"/>
  </cols>
  <sheetData>
    <row r="1" spans="1:7" ht="20.25" x14ac:dyDescent="0.3">
      <c r="A1" s="32"/>
      <c r="B1" s="44"/>
      <c r="C1" s="31"/>
      <c r="D1" s="31" t="s">
        <v>134</v>
      </c>
      <c r="E1" s="31"/>
      <c r="F1" s="32"/>
      <c r="G1" s="32"/>
    </row>
    <row r="2" spans="1:7" ht="20.25" x14ac:dyDescent="0.3">
      <c r="A2" s="32"/>
      <c r="B2" s="44"/>
      <c r="C2" s="31"/>
      <c r="D2" s="31" t="s">
        <v>135</v>
      </c>
      <c r="E2" s="31"/>
      <c r="F2" s="32"/>
      <c r="G2" s="32"/>
    </row>
    <row r="3" spans="1:7" ht="20.25" x14ac:dyDescent="0.3">
      <c r="A3" s="32"/>
      <c r="B3" s="44"/>
      <c r="C3" s="31"/>
      <c r="D3" s="31" t="s">
        <v>451</v>
      </c>
      <c r="E3" s="31"/>
      <c r="F3" s="32"/>
      <c r="G3" s="32"/>
    </row>
    <row r="4" spans="1:7" x14ac:dyDescent="0.25">
      <c r="A4" s="3" t="s">
        <v>1</v>
      </c>
      <c r="B4" s="36" t="s">
        <v>2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4</v>
      </c>
    </row>
    <row r="5" spans="1:7" x14ac:dyDescent="0.25">
      <c r="A5" s="5"/>
      <c r="B5" s="45"/>
      <c r="C5" s="53" t="s">
        <v>5</v>
      </c>
      <c r="D5" s="53" t="s">
        <v>111</v>
      </c>
      <c r="E5" s="53" t="s">
        <v>54</v>
      </c>
      <c r="F5" s="53" t="s">
        <v>396</v>
      </c>
      <c r="G5" s="7" t="s">
        <v>602</v>
      </c>
    </row>
    <row r="6" spans="1:7" x14ac:dyDescent="0.25">
      <c r="A6" s="9"/>
      <c r="B6" s="46"/>
      <c r="C6" s="11" t="s">
        <v>7</v>
      </c>
      <c r="D6" s="11" t="s">
        <v>8</v>
      </c>
      <c r="E6" s="11" t="s">
        <v>9</v>
      </c>
      <c r="F6" s="11" t="s">
        <v>10</v>
      </c>
      <c r="G6" s="12"/>
    </row>
    <row r="7" spans="1:7" ht="17.25" x14ac:dyDescent="0.25">
      <c r="A7" s="48">
        <v>1</v>
      </c>
      <c r="B7" s="14" t="s">
        <v>278</v>
      </c>
      <c r="C7" s="2">
        <v>14</v>
      </c>
      <c r="D7" s="2">
        <v>18</v>
      </c>
      <c r="E7" s="2">
        <v>17</v>
      </c>
      <c r="F7" s="2">
        <v>9</v>
      </c>
      <c r="G7" s="14">
        <f t="shared" ref="G7:G38" si="0">C7+D7+E7+F7</f>
        <v>58</v>
      </c>
    </row>
    <row r="8" spans="1:7" ht="17.25" x14ac:dyDescent="0.25">
      <c r="A8" s="48">
        <v>2</v>
      </c>
      <c r="B8" s="14" t="s">
        <v>279</v>
      </c>
      <c r="C8" s="2">
        <v>15</v>
      </c>
      <c r="D8" s="2">
        <v>16</v>
      </c>
      <c r="E8" s="2">
        <v>15</v>
      </c>
      <c r="F8" s="2">
        <v>7</v>
      </c>
      <c r="G8" s="14">
        <f t="shared" si="0"/>
        <v>53</v>
      </c>
    </row>
    <row r="9" spans="1:7" ht="17.25" x14ac:dyDescent="0.25">
      <c r="A9" s="48">
        <v>3</v>
      </c>
      <c r="B9" s="15" t="s">
        <v>280</v>
      </c>
      <c r="C9" s="2">
        <v>14</v>
      </c>
      <c r="D9" s="2">
        <v>17</v>
      </c>
      <c r="E9" s="2">
        <v>15</v>
      </c>
      <c r="F9" s="2">
        <v>5</v>
      </c>
      <c r="G9" s="14">
        <f t="shared" si="0"/>
        <v>51</v>
      </c>
    </row>
    <row r="10" spans="1:7" ht="17.25" x14ac:dyDescent="0.25">
      <c r="A10" s="48">
        <v>4</v>
      </c>
      <c r="B10" s="15" t="s">
        <v>393</v>
      </c>
      <c r="C10" s="2">
        <v>10</v>
      </c>
      <c r="D10" s="2">
        <v>16</v>
      </c>
      <c r="E10" s="2">
        <v>14</v>
      </c>
      <c r="F10" s="2">
        <v>11</v>
      </c>
      <c r="G10" s="14">
        <f t="shared" si="0"/>
        <v>51</v>
      </c>
    </row>
    <row r="11" spans="1:7" ht="17.25" x14ac:dyDescent="0.25">
      <c r="A11" s="48">
        <v>5</v>
      </c>
      <c r="B11" s="42" t="s">
        <v>281</v>
      </c>
      <c r="C11" s="2">
        <v>10</v>
      </c>
      <c r="D11" s="2">
        <v>13</v>
      </c>
      <c r="E11" s="2">
        <v>4</v>
      </c>
      <c r="F11" s="2">
        <v>6</v>
      </c>
      <c r="G11" s="14">
        <f t="shared" si="0"/>
        <v>33</v>
      </c>
    </row>
    <row r="12" spans="1:7" ht="17.25" x14ac:dyDescent="0.25">
      <c r="A12" s="48">
        <v>6</v>
      </c>
      <c r="B12" s="42" t="s">
        <v>282</v>
      </c>
      <c r="C12" s="2">
        <v>2</v>
      </c>
      <c r="D12" s="2">
        <v>3</v>
      </c>
      <c r="E12" s="2">
        <v>3</v>
      </c>
      <c r="F12" s="2">
        <v>0</v>
      </c>
      <c r="G12" s="14">
        <f t="shared" si="0"/>
        <v>8</v>
      </c>
    </row>
    <row r="13" spans="1:7" ht="17.25" x14ac:dyDescent="0.25">
      <c r="A13" s="48">
        <v>7</v>
      </c>
      <c r="B13" s="14" t="s">
        <v>283</v>
      </c>
      <c r="C13" s="2">
        <v>9</v>
      </c>
      <c r="D13" s="2">
        <v>11</v>
      </c>
      <c r="E13" s="2">
        <v>16</v>
      </c>
      <c r="F13" s="2">
        <v>5</v>
      </c>
      <c r="G13" s="14">
        <f t="shared" si="0"/>
        <v>41</v>
      </c>
    </row>
    <row r="14" spans="1:7" ht="17.25" x14ac:dyDescent="0.25">
      <c r="A14" s="48">
        <v>8</v>
      </c>
      <c r="B14" s="14" t="s">
        <v>394</v>
      </c>
      <c r="C14" s="2">
        <v>13</v>
      </c>
      <c r="D14" s="2">
        <v>16</v>
      </c>
      <c r="E14" s="2">
        <v>14</v>
      </c>
      <c r="F14" s="2">
        <v>6</v>
      </c>
      <c r="G14" s="14">
        <f t="shared" si="0"/>
        <v>49</v>
      </c>
    </row>
    <row r="15" spans="1:7" ht="17.25" x14ac:dyDescent="0.25">
      <c r="A15" s="48">
        <v>9</v>
      </c>
      <c r="B15" s="15" t="s">
        <v>284</v>
      </c>
      <c r="C15" s="2">
        <v>14</v>
      </c>
      <c r="D15" s="2">
        <v>18</v>
      </c>
      <c r="E15" s="2">
        <v>17</v>
      </c>
      <c r="F15" s="2">
        <v>10</v>
      </c>
      <c r="G15" s="14">
        <f t="shared" si="0"/>
        <v>59</v>
      </c>
    </row>
    <row r="16" spans="1:7" ht="17.25" x14ac:dyDescent="0.25">
      <c r="A16" s="48">
        <v>10</v>
      </c>
      <c r="B16" s="14" t="s">
        <v>285</v>
      </c>
      <c r="C16" s="2">
        <v>13</v>
      </c>
      <c r="D16" s="2">
        <v>17</v>
      </c>
      <c r="E16" s="2">
        <v>1</v>
      </c>
      <c r="F16" s="2">
        <v>1</v>
      </c>
      <c r="G16" s="14">
        <f t="shared" si="0"/>
        <v>32</v>
      </c>
    </row>
    <row r="17" spans="1:7" ht="17.25" x14ac:dyDescent="0.25">
      <c r="A17" s="48">
        <v>11</v>
      </c>
      <c r="B17" s="15" t="s">
        <v>286</v>
      </c>
      <c r="C17" s="2">
        <v>8</v>
      </c>
      <c r="D17" s="2">
        <v>15</v>
      </c>
      <c r="E17" s="2">
        <v>5</v>
      </c>
      <c r="F17" s="2">
        <v>8</v>
      </c>
      <c r="G17" s="14">
        <f t="shared" si="0"/>
        <v>36</v>
      </c>
    </row>
    <row r="18" spans="1:7" ht="17.25" x14ac:dyDescent="0.25">
      <c r="A18" s="48">
        <v>12</v>
      </c>
      <c r="B18" s="15" t="s">
        <v>287</v>
      </c>
      <c r="C18" s="2">
        <v>8</v>
      </c>
      <c r="D18" s="2">
        <v>10</v>
      </c>
      <c r="E18" s="2">
        <v>9</v>
      </c>
      <c r="F18" s="2">
        <v>8</v>
      </c>
      <c r="G18" s="14">
        <f t="shared" si="0"/>
        <v>35</v>
      </c>
    </row>
    <row r="19" spans="1:7" ht="17.25" x14ac:dyDescent="0.25">
      <c r="A19" s="48">
        <v>13</v>
      </c>
      <c r="B19" s="15" t="s">
        <v>288</v>
      </c>
      <c r="C19" s="2">
        <v>6</v>
      </c>
      <c r="D19" s="2">
        <v>13</v>
      </c>
      <c r="E19" s="2">
        <v>10</v>
      </c>
      <c r="F19" s="2">
        <v>8</v>
      </c>
      <c r="G19" s="14">
        <f t="shared" si="0"/>
        <v>37</v>
      </c>
    </row>
    <row r="20" spans="1:7" ht="17.25" x14ac:dyDescent="0.25">
      <c r="A20" s="48">
        <v>14</v>
      </c>
      <c r="B20" s="15" t="s">
        <v>289</v>
      </c>
      <c r="C20" s="2">
        <v>10</v>
      </c>
      <c r="D20" s="2">
        <v>17</v>
      </c>
      <c r="E20" s="2">
        <v>12</v>
      </c>
      <c r="F20" s="2">
        <v>11</v>
      </c>
      <c r="G20" s="14">
        <f t="shared" si="0"/>
        <v>50</v>
      </c>
    </row>
    <row r="21" spans="1:7" ht="17.25" x14ac:dyDescent="0.25">
      <c r="A21" s="48">
        <v>15</v>
      </c>
      <c r="B21" s="15" t="s">
        <v>290</v>
      </c>
      <c r="C21" s="2">
        <v>4</v>
      </c>
      <c r="D21" s="2">
        <v>11</v>
      </c>
      <c r="E21" s="2">
        <v>10</v>
      </c>
      <c r="F21" s="2">
        <v>9</v>
      </c>
      <c r="G21" s="14">
        <f t="shared" si="0"/>
        <v>34</v>
      </c>
    </row>
    <row r="22" spans="1:7" ht="17.25" x14ac:dyDescent="0.25">
      <c r="A22" s="48">
        <v>16</v>
      </c>
      <c r="B22" s="15" t="s">
        <v>395</v>
      </c>
      <c r="C22" s="2">
        <v>15</v>
      </c>
      <c r="D22" s="2">
        <v>13</v>
      </c>
      <c r="E22" s="2">
        <v>15</v>
      </c>
      <c r="F22" s="2">
        <v>9</v>
      </c>
      <c r="G22" s="14">
        <f t="shared" si="0"/>
        <v>52</v>
      </c>
    </row>
    <row r="23" spans="1:7" ht="17.25" x14ac:dyDescent="0.25">
      <c r="A23" s="48">
        <v>17</v>
      </c>
      <c r="B23" s="15" t="s">
        <v>291</v>
      </c>
      <c r="C23" s="2">
        <v>15</v>
      </c>
      <c r="D23" s="2">
        <v>16</v>
      </c>
      <c r="E23" s="2">
        <v>13</v>
      </c>
      <c r="F23" s="2">
        <v>11</v>
      </c>
      <c r="G23" s="14">
        <f t="shared" si="0"/>
        <v>55</v>
      </c>
    </row>
    <row r="24" spans="1:7" ht="17.25" x14ac:dyDescent="0.25">
      <c r="A24" s="48">
        <v>18</v>
      </c>
      <c r="B24" s="14" t="s">
        <v>292</v>
      </c>
      <c r="C24" s="2">
        <v>9</v>
      </c>
      <c r="D24" s="2">
        <v>16</v>
      </c>
      <c r="E24" s="2">
        <v>16</v>
      </c>
      <c r="F24" s="2">
        <v>10</v>
      </c>
      <c r="G24" s="14">
        <f t="shared" si="0"/>
        <v>51</v>
      </c>
    </row>
    <row r="25" spans="1:7" ht="17.25" x14ac:dyDescent="0.25">
      <c r="A25" s="48">
        <v>19</v>
      </c>
      <c r="B25" s="15" t="s">
        <v>293</v>
      </c>
      <c r="C25" s="2">
        <v>15</v>
      </c>
      <c r="D25" s="2">
        <v>18</v>
      </c>
      <c r="E25" s="2">
        <v>18</v>
      </c>
      <c r="F25" s="2">
        <v>15</v>
      </c>
      <c r="G25" s="14">
        <f t="shared" si="0"/>
        <v>66</v>
      </c>
    </row>
    <row r="26" spans="1:7" ht="17.25" x14ac:dyDescent="0.25">
      <c r="A26" s="48">
        <v>20</v>
      </c>
      <c r="B26" s="14" t="s">
        <v>294</v>
      </c>
      <c r="C26" s="2">
        <v>15</v>
      </c>
      <c r="D26" s="2">
        <v>15</v>
      </c>
      <c r="E26" s="2">
        <v>15</v>
      </c>
      <c r="F26" s="2">
        <v>9</v>
      </c>
      <c r="G26" s="14">
        <f t="shared" si="0"/>
        <v>54</v>
      </c>
    </row>
    <row r="27" spans="1:7" ht="17.25" x14ac:dyDescent="0.25">
      <c r="A27" s="48">
        <v>21</v>
      </c>
      <c r="B27" s="14" t="s">
        <v>295</v>
      </c>
      <c r="C27" s="2">
        <v>6</v>
      </c>
      <c r="D27" s="2">
        <v>8</v>
      </c>
      <c r="E27" s="2">
        <v>6</v>
      </c>
      <c r="F27" s="2">
        <v>6</v>
      </c>
      <c r="G27" s="14">
        <f t="shared" si="0"/>
        <v>26</v>
      </c>
    </row>
    <row r="28" spans="1:7" ht="17.25" x14ac:dyDescent="0.25">
      <c r="A28" s="48">
        <v>22</v>
      </c>
      <c r="B28" s="37" t="s">
        <v>296</v>
      </c>
      <c r="C28" s="2">
        <v>8</v>
      </c>
      <c r="D28" s="2">
        <v>10</v>
      </c>
      <c r="E28" s="2">
        <v>14</v>
      </c>
      <c r="F28" s="2">
        <v>4</v>
      </c>
      <c r="G28" s="14">
        <f t="shared" si="0"/>
        <v>36</v>
      </c>
    </row>
    <row r="29" spans="1:7" ht="17.25" x14ac:dyDescent="0.25">
      <c r="A29" s="48">
        <v>23</v>
      </c>
      <c r="B29" s="15" t="s">
        <v>297</v>
      </c>
      <c r="C29" s="2">
        <v>10</v>
      </c>
      <c r="D29" s="2">
        <v>14</v>
      </c>
      <c r="E29" s="2">
        <v>10</v>
      </c>
      <c r="F29" s="2">
        <v>8</v>
      </c>
      <c r="G29" s="14">
        <f t="shared" si="0"/>
        <v>42</v>
      </c>
    </row>
    <row r="30" spans="1:7" ht="17.25" x14ac:dyDescent="0.25">
      <c r="A30" s="48">
        <v>24</v>
      </c>
      <c r="B30" s="15" t="s">
        <v>298</v>
      </c>
      <c r="C30" s="2">
        <v>11</v>
      </c>
      <c r="D30" s="2">
        <v>17</v>
      </c>
      <c r="E30" s="2">
        <v>17</v>
      </c>
      <c r="F30" s="2">
        <v>11</v>
      </c>
      <c r="G30" s="14">
        <f t="shared" si="0"/>
        <v>56</v>
      </c>
    </row>
    <row r="31" spans="1:7" ht="17.25" x14ac:dyDescent="0.25">
      <c r="A31" s="48">
        <v>25</v>
      </c>
      <c r="B31" s="15" t="s">
        <v>299</v>
      </c>
      <c r="C31" s="2">
        <v>10</v>
      </c>
      <c r="D31" s="2">
        <v>14</v>
      </c>
      <c r="E31" s="2">
        <v>4</v>
      </c>
      <c r="F31" s="2">
        <v>8</v>
      </c>
      <c r="G31" s="14">
        <f t="shared" si="0"/>
        <v>36</v>
      </c>
    </row>
    <row r="32" spans="1:7" ht="17.25" x14ac:dyDescent="0.25">
      <c r="A32" s="48">
        <v>26</v>
      </c>
      <c r="B32" s="15" t="s">
        <v>300</v>
      </c>
      <c r="C32" s="2">
        <v>10</v>
      </c>
      <c r="D32" s="2">
        <v>15</v>
      </c>
      <c r="E32" s="2">
        <v>10</v>
      </c>
      <c r="F32" s="2">
        <v>6</v>
      </c>
      <c r="G32" s="14">
        <f t="shared" si="0"/>
        <v>41</v>
      </c>
    </row>
    <row r="33" spans="1:7" ht="17.25" x14ac:dyDescent="0.25">
      <c r="A33" s="48">
        <v>27</v>
      </c>
      <c r="B33" s="42" t="s">
        <v>301</v>
      </c>
      <c r="C33" s="2">
        <v>10</v>
      </c>
      <c r="D33" s="2">
        <v>11</v>
      </c>
      <c r="E33" s="2">
        <v>9</v>
      </c>
      <c r="F33" s="2">
        <v>4</v>
      </c>
      <c r="G33" s="14">
        <f t="shared" si="0"/>
        <v>34</v>
      </c>
    </row>
    <row r="34" spans="1:7" ht="17.25" x14ac:dyDescent="0.25">
      <c r="A34" s="48">
        <v>28</v>
      </c>
      <c r="B34" s="15" t="s">
        <v>302</v>
      </c>
      <c r="C34" s="2">
        <v>15</v>
      </c>
      <c r="D34" s="2">
        <v>19</v>
      </c>
      <c r="E34" s="2">
        <v>12</v>
      </c>
      <c r="F34" s="2">
        <v>14</v>
      </c>
      <c r="G34" s="14">
        <f t="shared" si="0"/>
        <v>60</v>
      </c>
    </row>
    <row r="35" spans="1:7" ht="17.25" x14ac:dyDescent="0.25">
      <c r="A35" s="48">
        <v>29</v>
      </c>
      <c r="B35" s="15" t="s">
        <v>303</v>
      </c>
      <c r="C35" s="2">
        <v>12</v>
      </c>
      <c r="D35" s="2">
        <v>19</v>
      </c>
      <c r="E35" s="2">
        <v>16</v>
      </c>
      <c r="F35" s="2">
        <v>11</v>
      </c>
      <c r="G35" s="14">
        <f t="shared" si="0"/>
        <v>58</v>
      </c>
    </row>
    <row r="36" spans="1:7" ht="17.25" x14ac:dyDescent="0.25">
      <c r="A36" s="48">
        <v>30</v>
      </c>
      <c r="B36" s="14" t="s">
        <v>304</v>
      </c>
      <c r="C36" s="2">
        <v>13</v>
      </c>
      <c r="D36" s="2">
        <v>16</v>
      </c>
      <c r="E36" s="2">
        <v>12</v>
      </c>
      <c r="F36" s="2">
        <v>7</v>
      </c>
      <c r="G36" s="14">
        <f t="shared" si="0"/>
        <v>48</v>
      </c>
    </row>
    <row r="37" spans="1:7" ht="17.25" x14ac:dyDescent="0.25">
      <c r="A37" s="48">
        <v>31</v>
      </c>
      <c r="B37" s="43" t="s">
        <v>305</v>
      </c>
      <c r="C37" s="2">
        <v>14</v>
      </c>
      <c r="D37" s="2">
        <v>17</v>
      </c>
      <c r="E37" s="2">
        <v>15</v>
      </c>
      <c r="F37" s="2">
        <v>6</v>
      </c>
      <c r="G37" s="14">
        <f t="shared" si="0"/>
        <v>52</v>
      </c>
    </row>
    <row r="38" spans="1:7" ht="17.25" x14ac:dyDescent="0.25">
      <c r="A38" s="48">
        <v>32</v>
      </c>
      <c r="B38" s="38" t="s">
        <v>306</v>
      </c>
      <c r="C38" s="2">
        <v>6</v>
      </c>
      <c r="D38" s="2">
        <v>17</v>
      </c>
      <c r="E38" s="2">
        <v>5</v>
      </c>
      <c r="F38" s="2">
        <v>5</v>
      </c>
      <c r="G38" s="14">
        <f t="shared" si="0"/>
        <v>33</v>
      </c>
    </row>
    <row r="39" spans="1:7" ht="17.25" x14ac:dyDescent="0.25">
      <c r="A39" s="48">
        <v>33</v>
      </c>
      <c r="B39" s="15" t="s">
        <v>307</v>
      </c>
      <c r="C39" s="2">
        <v>14</v>
      </c>
      <c r="D39" s="2">
        <v>9</v>
      </c>
      <c r="E39" s="2">
        <v>11</v>
      </c>
      <c r="F39" s="2">
        <v>9</v>
      </c>
      <c r="G39" s="14">
        <f>C39+E39+D39+F39</f>
        <v>43</v>
      </c>
    </row>
    <row r="40" spans="1:7" ht="17.25" x14ac:dyDescent="0.25">
      <c r="A40" s="48">
        <v>34</v>
      </c>
      <c r="B40" s="14" t="s">
        <v>308</v>
      </c>
      <c r="C40" s="2">
        <v>11</v>
      </c>
      <c r="D40" s="2">
        <v>17</v>
      </c>
      <c r="E40" s="2">
        <v>15</v>
      </c>
      <c r="F40" s="2">
        <v>8</v>
      </c>
      <c r="G40" s="14">
        <f t="shared" ref="G40:G49" si="1">C40+D40+E40+F40</f>
        <v>51</v>
      </c>
    </row>
    <row r="41" spans="1:7" ht="17.25" x14ac:dyDescent="0.25">
      <c r="A41" s="48">
        <v>35</v>
      </c>
      <c r="B41" s="15" t="s">
        <v>309</v>
      </c>
      <c r="C41" s="2">
        <v>16</v>
      </c>
      <c r="D41" s="2">
        <v>10</v>
      </c>
      <c r="E41" s="2">
        <f>+F41</f>
        <v>8</v>
      </c>
      <c r="F41" s="2">
        <v>8</v>
      </c>
      <c r="G41" s="14">
        <f t="shared" si="1"/>
        <v>42</v>
      </c>
    </row>
    <row r="42" spans="1:7" ht="17.25" x14ac:dyDescent="0.25">
      <c r="A42" s="48">
        <v>36</v>
      </c>
      <c r="B42" s="15" t="s">
        <v>310</v>
      </c>
      <c r="C42" s="2">
        <v>12</v>
      </c>
      <c r="D42" s="2">
        <v>12</v>
      </c>
      <c r="E42" s="2">
        <v>11</v>
      </c>
      <c r="F42" s="2">
        <v>8</v>
      </c>
      <c r="G42" s="14">
        <f t="shared" si="1"/>
        <v>43</v>
      </c>
    </row>
    <row r="43" spans="1:7" ht="17.25" x14ac:dyDescent="0.25">
      <c r="A43" s="48">
        <v>37</v>
      </c>
      <c r="B43" s="15" t="s">
        <v>311</v>
      </c>
      <c r="C43" s="2">
        <v>13</v>
      </c>
      <c r="D43" s="2">
        <v>14</v>
      </c>
      <c r="E43" s="2">
        <v>14</v>
      </c>
      <c r="F43" s="2">
        <v>6</v>
      </c>
      <c r="G43" s="14">
        <f t="shared" si="1"/>
        <v>47</v>
      </c>
    </row>
    <row r="44" spans="1:7" ht="17.25" x14ac:dyDescent="0.25">
      <c r="A44" s="48">
        <v>38</v>
      </c>
      <c r="B44" s="43" t="s">
        <v>312</v>
      </c>
      <c r="C44" s="2">
        <v>14</v>
      </c>
      <c r="D44" s="2">
        <v>16</v>
      </c>
      <c r="E44" s="2">
        <v>16</v>
      </c>
      <c r="F44" s="2">
        <v>10</v>
      </c>
      <c r="G44" s="14">
        <f t="shared" si="1"/>
        <v>56</v>
      </c>
    </row>
    <row r="45" spans="1:7" ht="17.25" x14ac:dyDescent="0.25">
      <c r="A45" s="48">
        <v>39</v>
      </c>
      <c r="B45" s="15" t="s">
        <v>313</v>
      </c>
      <c r="C45" s="2">
        <v>8</v>
      </c>
      <c r="D45" s="2">
        <v>5</v>
      </c>
      <c r="E45" s="2">
        <v>5</v>
      </c>
      <c r="F45" s="2">
        <v>6</v>
      </c>
      <c r="G45" s="14">
        <f t="shared" si="1"/>
        <v>24</v>
      </c>
    </row>
    <row r="46" spans="1:7" ht="17.25" x14ac:dyDescent="0.25">
      <c r="A46" s="48">
        <v>40</v>
      </c>
      <c r="B46" s="15" t="s">
        <v>314</v>
      </c>
      <c r="C46" s="2">
        <v>10</v>
      </c>
      <c r="D46" s="2">
        <v>17</v>
      </c>
      <c r="E46" s="2">
        <v>15</v>
      </c>
      <c r="F46" s="2">
        <v>10</v>
      </c>
      <c r="G46" s="14">
        <f t="shared" si="1"/>
        <v>52</v>
      </c>
    </row>
    <row r="47" spans="1:7" ht="17.25" x14ac:dyDescent="0.25">
      <c r="A47" s="48">
        <v>41</v>
      </c>
      <c r="B47" s="14" t="s">
        <v>315</v>
      </c>
      <c r="C47" s="2">
        <v>9</v>
      </c>
      <c r="D47" s="2">
        <v>12</v>
      </c>
      <c r="E47" s="2">
        <v>8</v>
      </c>
      <c r="F47" s="2">
        <v>2</v>
      </c>
      <c r="G47" s="14">
        <f t="shared" si="1"/>
        <v>31</v>
      </c>
    </row>
    <row r="48" spans="1:7" ht="17.25" x14ac:dyDescent="0.25">
      <c r="A48" s="48">
        <v>42</v>
      </c>
      <c r="B48" s="15" t="s">
        <v>316</v>
      </c>
      <c r="C48" s="2">
        <v>10</v>
      </c>
      <c r="D48" s="2">
        <v>18</v>
      </c>
      <c r="E48" s="2">
        <v>16</v>
      </c>
      <c r="F48" s="2">
        <v>11</v>
      </c>
      <c r="G48" s="14">
        <f t="shared" si="1"/>
        <v>55</v>
      </c>
    </row>
    <row r="49" spans="1:7" ht="17.25" x14ac:dyDescent="0.25">
      <c r="A49" s="48">
        <v>43</v>
      </c>
      <c r="B49" s="15" t="s">
        <v>317</v>
      </c>
      <c r="C49" s="2">
        <v>7</v>
      </c>
      <c r="D49" s="2">
        <v>15</v>
      </c>
      <c r="E49" s="2">
        <v>11</v>
      </c>
      <c r="F49" s="2">
        <v>11</v>
      </c>
      <c r="G49" s="14">
        <f t="shared" si="1"/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zoomScale="70" zoomScaleNormal="70" workbookViewId="0">
      <selection activeCell="G5" sqref="G5"/>
    </sheetView>
  </sheetViews>
  <sheetFormatPr defaultRowHeight="15" x14ac:dyDescent="0.25"/>
  <cols>
    <col min="2" max="2" width="22.85546875" customWidth="1"/>
    <col min="3" max="4" width="20.7109375" style="25" customWidth="1"/>
    <col min="5" max="5" width="20.28515625" style="25" customWidth="1"/>
    <col min="6" max="6" width="19.85546875" style="25" customWidth="1"/>
    <col min="7" max="7" width="19.140625" style="25" customWidth="1"/>
  </cols>
  <sheetData>
    <row r="1" spans="1:7" ht="20.25" x14ac:dyDescent="0.3">
      <c r="A1" s="32"/>
      <c r="B1" s="44"/>
      <c r="C1" s="31"/>
      <c r="D1" s="31" t="s">
        <v>134</v>
      </c>
      <c r="E1" s="31"/>
      <c r="F1" s="32"/>
      <c r="G1" s="32"/>
    </row>
    <row r="2" spans="1:7" ht="20.25" x14ac:dyDescent="0.3">
      <c r="A2" s="32"/>
      <c r="B2" s="44"/>
      <c r="C2" s="31"/>
      <c r="D2" s="31" t="s">
        <v>135</v>
      </c>
      <c r="E2" s="31"/>
      <c r="F2" s="32"/>
      <c r="G2" s="32"/>
    </row>
    <row r="3" spans="1:7" ht="20.25" x14ac:dyDescent="0.3">
      <c r="A3" s="32"/>
      <c r="B3" s="44"/>
      <c r="C3" s="31"/>
      <c r="D3" s="31" t="s">
        <v>359</v>
      </c>
      <c r="E3" s="31"/>
      <c r="F3" s="32"/>
      <c r="G3" s="32"/>
    </row>
    <row r="4" spans="1:7" x14ac:dyDescent="0.25">
      <c r="A4" s="3" t="s">
        <v>1</v>
      </c>
      <c r="B4" s="36" t="s">
        <v>2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4</v>
      </c>
    </row>
    <row r="5" spans="1:7" x14ac:dyDescent="0.25">
      <c r="A5" s="5"/>
      <c r="B5" s="45"/>
      <c r="C5" s="53" t="s">
        <v>397</v>
      </c>
      <c r="D5" s="53" t="s">
        <v>111</v>
      </c>
      <c r="E5" s="53" t="s">
        <v>398</v>
      </c>
      <c r="F5" s="53" t="s">
        <v>107</v>
      </c>
      <c r="G5" s="7" t="s">
        <v>602</v>
      </c>
    </row>
    <row r="6" spans="1:7" x14ac:dyDescent="0.25">
      <c r="A6" s="9"/>
      <c r="B6" s="46"/>
      <c r="C6" s="11" t="s">
        <v>7</v>
      </c>
      <c r="D6" s="11" t="s">
        <v>8</v>
      </c>
      <c r="E6" s="11" t="s">
        <v>9</v>
      </c>
      <c r="F6" s="11" t="s">
        <v>10</v>
      </c>
      <c r="G6" s="12"/>
    </row>
    <row r="7" spans="1:7" x14ac:dyDescent="0.25">
      <c r="A7" s="2">
        <v>1</v>
      </c>
      <c r="B7" s="50" t="s">
        <v>318</v>
      </c>
      <c r="C7" s="2">
        <v>2</v>
      </c>
      <c r="D7" s="2">
        <v>6</v>
      </c>
      <c r="E7" s="2">
        <v>6</v>
      </c>
      <c r="F7" s="2">
        <v>8</v>
      </c>
      <c r="G7" s="2">
        <f>C7+D7+E7+F7</f>
        <v>22</v>
      </c>
    </row>
    <row r="8" spans="1:7" x14ac:dyDescent="0.25">
      <c r="A8" s="2">
        <v>2</v>
      </c>
      <c r="B8" s="50" t="s">
        <v>319</v>
      </c>
      <c r="C8" s="2">
        <v>5</v>
      </c>
      <c r="D8" s="2">
        <v>6</v>
      </c>
      <c r="E8" s="2">
        <v>6</v>
      </c>
      <c r="F8" s="2">
        <v>3</v>
      </c>
      <c r="G8" s="2">
        <f>C8+D8+E8+F8</f>
        <v>20</v>
      </c>
    </row>
    <row r="9" spans="1:7" x14ac:dyDescent="0.25">
      <c r="A9" s="2">
        <v>3</v>
      </c>
      <c r="B9" s="50" t="s">
        <v>320</v>
      </c>
      <c r="C9" s="2">
        <v>2</v>
      </c>
      <c r="D9" s="2">
        <v>9</v>
      </c>
      <c r="E9" s="2">
        <v>9</v>
      </c>
      <c r="F9" s="2">
        <v>3</v>
      </c>
      <c r="G9" s="2">
        <f>C9+D9+E9+F9</f>
        <v>23</v>
      </c>
    </row>
    <row r="10" spans="1:7" x14ac:dyDescent="0.25">
      <c r="A10" s="2">
        <v>4</v>
      </c>
      <c r="B10" s="50" t="s">
        <v>321</v>
      </c>
      <c r="C10" s="2">
        <v>6</v>
      </c>
      <c r="D10" s="2">
        <v>7</v>
      </c>
      <c r="E10" s="2">
        <v>7</v>
      </c>
      <c r="F10" s="2">
        <v>3</v>
      </c>
      <c r="G10" s="2">
        <f>C10+D10+E10+F10</f>
        <v>23</v>
      </c>
    </row>
    <row r="11" spans="1:7" x14ac:dyDescent="0.25">
      <c r="A11" s="2">
        <v>5</v>
      </c>
      <c r="B11" s="50" t="s">
        <v>322</v>
      </c>
      <c r="C11" s="2">
        <v>6</v>
      </c>
      <c r="D11" s="2">
        <v>8</v>
      </c>
      <c r="E11" s="2">
        <v>8</v>
      </c>
      <c r="F11" s="2"/>
      <c r="G11" s="2">
        <f>C11+D11+E11</f>
        <v>22</v>
      </c>
    </row>
    <row r="12" spans="1:7" x14ac:dyDescent="0.25">
      <c r="A12" s="2">
        <v>6</v>
      </c>
      <c r="B12" s="50" t="s">
        <v>323</v>
      </c>
      <c r="C12" s="2">
        <v>10</v>
      </c>
      <c r="D12" s="2">
        <v>10</v>
      </c>
      <c r="E12" s="2">
        <v>10</v>
      </c>
      <c r="F12" s="2">
        <v>11</v>
      </c>
      <c r="G12" s="2">
        <f>C12+D12+E12+F12</f>
        <v>41</v>
      </c>
    </row>
    <row r="13" spans="1:7" x14ac:dyDescent="0.25">
      <c r="A13" s="2">
        <v>7</v>
      </c>
      <c r="B13" s="50" t="s">
        <v>324</v>
      </c>
      <c r="C13" s="2">
        <v>15</v>
      </c>
      <c r="D13" s="2">
        <v>21</v>
      </c>
      <c r="E13" s="2">
        <v>21</v>
      </c>
      <c r="F13" s="2">
        <v>12</v>
      </c>
      <c r="G13" s="2">
        <f>C13+D13+E13+F13</f>
        <v>69</v>
      </c>
    </row>
    <row r="14" spans="1:7" x14ac:dyDescent="0.25">
      <c r="A14" s="2">
        <v>8</v>
      </c>
      <c r="B14" s="50" t="s">
        <v>325</v>
      </c>
      <c r="C14" s="2">
        <v>7</v>
      </c>
      <c r="D14" s="2">
        <v>10</v>
      </c>
      <c r="E14" s="2">
        <v>10</v>
      </c>
      <c r="F14" s="2"/>
      <c r="G14" s="2">
        <f>C14+D14+E14</f>
        <v>27</v>
      </c>
    </row>
    <row r="15" spans="1:7" x14ac:dyDescent="0.25">
      <c r="A15" s="2">
        <v>9</v>
      </c>
      <c r="B15" s="50" t="s">
        <v>326</v>
      </c>
      <c r="C15" s="2">
        <v>15</v>
      </c>
      <c r="D15" s="2">
        <v>14</v>
      </c>
      <c r="E15" s="2">
        <v>14</v>
      </c>
      <c r="F15" s="2">
        <v>6</v>
      </c>
      <c r="G15" s="2">
        <f>C15+D15+E15+F15</f>
        <v>49</v>
      </c>
    </row>
    <row r="16" spans="1:7" x14ac:dyDescent="0.25">
      <c r="A16" s="2">
        <v>10</v>
      </c>
      <c r="B16" s="50" t="s">
        <v>327</v>
      </c>
      <c r="C16" s="2">
        <v>12</v>
      </c>
      <c r="D16" s="2">
        <v>11</v>
      </c>
      <c r="E16" s="2">
        <v>11</v>
      </c>
      <c r="F16" s="2">
        <v>8</v>
      </c>
      <c r="G16" s="2">
        <f>D16+C16+E16+F16</f>
        <v>42</v>
      </c>
    </row>
    <row r="17" spans="1:7" x14ac:dyDescent="0.25">
      <c r="A17" s="2">
        <v>11</v>
      </c>
      <c r="B17" s="50" t="s">
        <v>328</v>
      </c>
      <c r="C17" s="2">
        <v>2</v>
      </c>
      <c r="D17" s="2">
        <v>3</v>
      </c>
      <c r="E17" s="2">
        <v>3</v>
      </c>
      <c r="F17" s="2">
        <v>3</v>
      </c>
      <c r="G17" s="2">
        <f>C17+D17+E17+F17</f>
        <v>11</v>
      </c>
    </row>
    <row r="18" spans="1:7" x14ac:dyDescent="0.25">
      <c r="A18" s="2">
        <v>12</v>
      </c>
      <c r="B18" s="50" t="s">
        <v>329</v>
      </c>
      <c r="C18" s="2">
        <v>12</v>
      </c>
      <c r="D18" s="2">
        <v>15</v>
      </c>
      <c r="E18" s="2">
        <v>15</v>
      </c>
      <c r="F18" s="2">
        <v>7</v>
      </c>
      <c r="G18" s="2">
        <f>C18+D18+E18+F18</f>
        <v>49</v>
      </c>
    </row>
    <row r="19" spans="1:7" x14ac:dyDescent="0.25">
      <c r="A19" s="2">
        <v>13</v>
      </c>
      <c r="B19" s="50" t="s">
        <v>330</v>
      </c>
      <c r="C19" s="2">
        <v>4</v>
      </c>
      <c r="D19" s="2">
        <v>6</v>
      </c>
      <c r="E19" s="2">
        <v>6</v>
      </c>
      <c r="F19" s="2">
        <v>6</v>
      </c>
      <c r="G19" s="2">
        <f>C19+D19+E19+F19</f>
        <v>22</v>
      </c>
    </row>
    <row r="20" spans="1:7" x14ac:dyDescent="0.25">
      <c r="A20" s="2">
        <v>14</v>
      </c>
      <c r="B20" s="50" t="s">
        <v>331</v>
      </c>
      <c r="C20" s="2">
        <v>4</v>
      </c>
      <c r="D20" s="2">
        <v>8</v>
      </c>
      <c r="E20" s="2">
        <v>8</v>
      </c>
      <c r="F20" s="2">
        <v>4</v>
      </c>
      <c r="G20" s="2">
        <f>C20+D20+E20+F20</f>
        <v>24</v>
      </c>
    </row>
    <row r="21" spans="1:7" x14ac:dyDescent="0.25">
      <c r="A21" s="2">
        <v>15</v>
      </c>
      <c r="B21" s="50" t="s">
        <v>332</v>
      </c>
      <c r="C21" s="2">
        <v>9</v>
      </c>
      <c r="D21" s="2">
        <v>11</v>
      </c>
      <c r="E21" s="2">
        <v>11</v>
      </c>
      <c r="F21" s="2">
        <v>6</v>
      </c>
      <c r="G21" s="2">
        <f>C21+D21+E21+F21</f>
        <v>37</v>
      </c>
    </row>
    <row r="22" spans="1:7" x14ac:dyDescent="0.25">
      <c r="A22" s="2">
        <v>16</v>
      </c>
      <c r="B22" s="50" t="s">
        <v>333</v>
      </c>
      <c r="C22" s="2">
        <v>2</v>
      </c>
      <c r="D22" s="2">
        <v>6</v>
      </c>
      <c r="E22" s="2">
        <v>6</v>
      </c>
      <c r="F22" s="2"/>
      <c r="G22" s="2">
        <f>C22+D22+E22</f>
        <v>14</v>
      </c>
    </row>
    <row r="23" spans="1:7" x14ac:dyDescent="0.25">
      <c r="A23" s="2">
        <v>17</v>
      </c>
      <c r="B23" s="50" t="s">
        <v>334</v>
      </c>
      <c r="C23" s="2">
        <v>5</v>
      </c>
      <c r="D23" s="2">
        <v>16</v>
      </c>
      <c r="E23" s="2">
        <v>16</v>
      </c>
      <c r="F23" s="2">
        <v>6</v>
      </c>
      <c r="G23" s="2">
        <f t="shared" ref="G23:G30" si="0">F23+E23+D23+C23</f>
        <v>43</v>
      </c>
    </row>
    <row r="24" spans="1:7" x14ac:dyDescent="0.25">
      <c r="A24" s="2">
        <v>18</v>
      </c>
      <c r="B24" s="50" t="s">
        <v>335</v>
      </c>
      <c r="C24" s="2">
        <v>12</v>
      </c>
      <c r="D24" s="2">
        <v>19</v>
      </c>
      <c r="E24" s="2">
        <v>19</v>
      </c>
      <c r="F24" s="2">
        <v>14</v>
      </c>
      <c r="G24" s="2">
        <f t="shared" si="0"/>
        <v>64</v>
      </c>
    </row>
    <row r="25" spans="1:7" x14ac:dyDescent="0.25">
      <c r="A25" s="2">
        <v>19</v>
      </c>
      <c r="B25" s="50" t="s">
        <v>336</v>
      </c>
      <c r="C25" s="2">
        <v>13</v>
      </c>
      <c r="D25" s="2">
        <v>15</v>
      </c>
      <c r="E25" s="2">
        <v>15</v>
      </c>
      <c r="F25" s="2">
        <v>2</v>
      </c>
      <c r="G25" s="2">
        <f t="shared" si="0"/>
        <v>45</v>
      </c>
    </row>
    <row r="26" spans="1:7" x14ac:dyDescent="0.25">
      <c r="A26" s="2">
        <v>20</v>
      </c>
      <c r="B26" s="50" t="s">
        <v>337</v>
      </c>
      <c r="C26" s="2">
        <v>5</v>
      </c>
      <c r="D26" s="2">
        <v>9</v>
      </c>
      <c r="E26" s="2">
        <v>9</v>
      </c>
      <c r="F26" s="2">
        <v>1</v>
      </c>
      <c r="G26" s="2">
        <f t="shared" si="0"/>
        <v>24</v>
      </c>
    </row>
    <row r="27" spans="1:7" x14ac:dyDescent="0.25">
      <c r="A27" s="2">
        <v>21</v>
      </c>
      <c r="B27" s="50" t="s">
        <v>338</v>
      </c>
      <c r="C27" s="2">
        <v>14</v>
      </c>
      <c r="D27" s="2">
        <v>14</v>
      </c>
      <c r="E27" s="2">
        <v>16</v>
      </c>
      <c r="F27" s="2">
        <v>6</v>
      </c>
      <c r="G27" s="2">
        <f t="shared" si="0"/>
        <v>50</v>
      </c>
    </row>
    <row r="28" spans="1:7" x14ac:dyDescent="0.25">
      <c r="A28" s="2">
        <v>22</v>
      </c>
      <c r="B28" s="50" t="s">
        <v>339</v>
      </c>
      <c r="C28" s="2">
        <v>14</v>
      </c>
      <c r="D28" s="2">
        <v>14</v>
      </c>
      <c r="E28" s="2">
        <v>18</v>
      </c>
      <c r="F28" s="2">
        <v>12</v>
      </c>
      <c r="G28" s="2">
        <f t="shared" si="0"/>
        <v>58</v>
      </c>
    </row>
    <row r="29" spans="1:7" x14ac:dyDescent="0.25">
      <c r="A29" s="2">
        <v>23</v>
      </c>
      <c r="B29" s="50" t="s">
        <v>340</v>
      </c>
      <c r="C29" s="2">
        <v>15</v>
      </c>
      <c r="D29" s="2">
        <v>15</v>
      </c>
      <c r="E29" s="2">
        <v>18</v>
      </c>
      <c r="F29" s="2">
        <v>7</v>
      </c>
      <c r="G29" s="2">
        <f t="shared" si="0"/>
        <v>55</v>
      </c>
    </row>
    <row r="30" spans="1:7" x14ac:dyDescent="0.25">
      <c r="A30" s="2">
        <v>24</v>
      </c>
      <c r="B30" s="50" t="s">
        <v>341</v>
      </c>
      <c r="C30" s="2">
        <v>3</v>
      </c>
      <c r="D30" s="2">
        <v>3</v>
      </c>
      <c r="E30" s="2">
        <v>8</v>
      </c>
      <c r="F30" s="2">
        <v>1</v>
      </c>
      <c r="G30" s="2">
        <f t="shared" si="0"/>
        <v>15</v>
      </c>
    </row>
    <row r="31" spans="1:7" x14ac:dyDescent="0.25">
      <c r="A31" s="2">
        <v>25</v>
      </c>
      <c r="B31" s="50" t="s">
        <v>342</v>
      </c>
      <c r="C31" s="2">
        <v>3</v>
      </c>
      <c r="D31" s="2">
        <v>3</v>
      </c>
      <c r="E31" s="2">
        <v>4</v>
      </c>
      <c r="F31" s="2"/>
      <c r="G31" s="2">
        <f>E31+D31+C31</f>
        <v>10</v>
      </c>
    </row>
    <row r="32" spans="1:7" x14ac:dyDescent="0.25">
      <c r="A32" s="2">
        <v>26</v>
      </c>
      <c r="B32" s="50" t="s">
        <v>343</v>
      </c>
      <c r="C32" s="2">
        <v>5</v>
      </c>
      <c r="D32" s="2">
        <v>5</v>
      </c>
      <c r="E32" s="2">
        <v>5</v>
      </c>
      <c r="F32" s="2"/>
      <c r="G32" s="2">
        <f>E32+D32+C32</f>
        <v>15</v>
      </c>
    </row>
    <row r="33" spans="1:7" x14ac:dyDescent="0.25">
      <c r="A33" s="2">
        <v>27</v>
      </c>
      <c r="B33" s="50" t="s">
        <v>344</v>
      </c>
      <c r="C33" s="2">
        <v>14</v>
      </c>
      <c r="D33" s="2">
        <v>14</v>
      </c>
      <c r="E33" s="2">
        <v>14</v>
      </c>
      <c r="F33" s="2">
        <v>7</v>
      </c>
      <c r="G33" s="2">
        <f>F33+E33+D33+C33</f>
        <v>49</v>
      </c>
    </row>
    <row r="34" spans="1:7" x14ac:dyDescent="0.25">
      <c r="A34" s="2">
        <v>28</v>
      </c>
      <c r="B34" s="50" t="s">
        <v>345</v>
      </c>
      <c r="C34" s="2">
        <v>11</v>
      </c>
      <c r="D34" s="2">
        <v>11</v>
      </c>
      <c r="E34" s="2">
        <v>4</v>
      </c>
      <c r="F34" s="2">
        <v>7</v>
      </c>
      <c r="G34" s="2">
        <f>E34+D34+C34+F34</f>
        <v>33</v>
      </c>
    </row>
    <row r="35" spans="1:7" x14ac:dyDescent="0.25">
      <c r="A35" s="2">
        <v>29</v>
      </c>
      <c r="B35" s="50" t="s">
        <v>346</v>
      </c>
      <c r="C35" s="2">
        <v>5</v>
      </c>
      <c r="D35" s="2">
        <v>5</v>
      </c>
      <c r="E35" s="2">
        <v>10</v>
      </c>
      <c r="F35" s="2">
        <v>4</v>
      </c>
      <c r="G35" s="2">
        <f>F35+E35+D35+C35</f>
        <v>24</v>
      </c>
    </row>
    <row r="36" spans="1:7" x14ac:dyDescent="0.25">
      <c r="A36" s="2">
        <v>30</v>
      </c>
      <c r="B36" s="50" t="s">
        <v>347</v>
      </c>
      <c r="C36" s="2">
        <v>9</v>
      </c>
      <c r="D36" s="2">
        <v>9</v>
      </c>
      <c r="E36" s="2">
        <v>14</v>
      </c>
      <c r="F36" s="2">
        <v>6</v>
      </c>
      <c r="G36" s="2">
        <f>F36+E36+D36+C36</f>
        <v>38</v>
      </c>
    </row>
    <row r="37" spans="1:7" x14ac:dyDescent="0.25">
      <c r="A37" s="2">
        <v>31</v>
      </c>
      <c r="B37" s="50" t="s">
        <v>348</v>
      </c>
      <c r="C37" s="2">
        <v>2</v>
      </c>
      <c r="D37" s="2">
        <v>2</v>
      </c>
      <c r="E37" s="2">
        <v>5</v>
      </c>
      <c r="F37" s="2">
        <v>9</v>
      </c>
      <c r="G37" s="2">
        <f>F37+E37+D37+C37</f>
        <v>18</v>
      </c>
    </row>
    <row r="38" spans="1:7" x14ac:dyDescent="0.25">
      <c r="A38" s="2">
        <v>32</v>
      </c>
      <c r="B38" s="50" t="s">
        <v>349</v>
      </c>
      <c r="C38" s="2">
        <v>1</v>
      </c>
      <c r="D38" s="2">
        <v>1</v>
      </c>
      <c r="E38" s="2">
        <v>4</v>
      </c>
      <c r="F38" s="2"/>
      <c r="G38" s="2">
        <f>E38+D38+C38</f>
        <v>6</v>
      </c>
    </row>
    <row r="39" spans="1:7" x14ac:dyDescent="0.25">
      <c r="A39" s="2">
        <v>33</v>
      </c>
      <c r="B39" s="50" t="s">
        <v>350</v>
      </c>
      <c r="C39" s="2">
        <v>2</v>
      </c>
      <c r="D39" s="2">
        <v>2</v>
      </c>
      <c r="E39" s="2"/>
      <c r="F39" s="2">
        <v>2</v>
      </c>
      <c r="G39" s="2">
        <f>F39+D39+C39</f>
        <v>6</v>
      </c>
    </row>
    <row r="40" spans="1:7" x14ac:dyDescent="0.25">
      <c r="A40" s="2">
        <v>34</v>
      </c>
      <c r="B40" s="50" t="s">
        <v>351</v>
      </c>
      <c r="C40" s="2">
        <v>15</v>
      </c>
      <c r="D40" s="2">
        <v>13</v>
      </c>
      <c r="E40" s="2">
        <v>18</v>
      </c>
      <c r="F40" s="2">
        <v>3</v>
      </c>
      <c r="G40" s="2">
        <f t="shared" ref="G40:G45" si="1">F40+E40+D40+C40</f>
        <v>49</v>
      </c>
    </row>
    <row r="41" spans="1:7" x14ac:dyDescent="0.25">
      <c r="A41" s="2">
        <v>35</v>
      </c>
      <c r="B41" s="50" t="s">
        <v>352</v>
      </c>
      <c r="C41" s="2">
        <v>13</v>
      </c>
      <c r="D41" s="2">
        <v>2</v>
      </c>
      <c r="E41" s="2">
        <v>17</v>
      </c>
      <c r="F41" s="2">
        <v>2</v>
      </c>
      <c r="G41" s="2">
        <f t="shared" si="1"/>
        <v>34</v>
      </c>
    </row>
    <row r="42" spans="1:7" x14ac:dyDescent="0.25">
      <c r="A42" s="2">
        <v>36</v>
      </c>
      <c r="B42" s="50" t="s">
        <v>353</v>
      </c>
      <c r="C42" s="2">
        <v>2</v>
      </c>
      <c r="D42" s="2">
        <v>11</v>
      </c>
      <c r="E42" s="2">
        <v>7</v>
      </c>
      <c r="F42" s="2">
        <v>6</v>
      </c>
      <c r="G42" s="2">
        <f t="shared" si="1"/>
        <v>26</v>
      </c>
    </row>
    <row r="43" spans="1:7" x14ac:dyDescent="0.25">
      <c r="A43" s="2">
        <v>37</v>
      </c>
      <c r="B43" s="51" t="s">
        <v>354</v>
      </c>
      <c r="C43" s="2">
        <v>15</v>
      </c>
      <c r="D43" s="2">
        <v>3</v>
      </c>
      <c r="E43" s="2">
        <v>16</v>
      </c>
      <c r="F43" s="2">
        <v>9</v>
      </c>
      <c r="G43" s="2">
        <f t="shared" si="1"/>
        <v>43</v>
      </c>
    </row>
    <row r="44" spans="1:7" x14ac:dyDescent="0.25">
      <c r="A44" s="2">
        <v>38</v>
      </c>
      <c r="B44" s="51" t="s">
        <v>355</v>
      </c>
      <c r="C44" s="2">
        <v>11</v>
      </c>
      <c r="D44" s="2">
        <v>11</v>
      </c>
      <c r="E44" s="2">
        <v>16</v>
      </c>
      <c r="F44" s="2">
        <v>9</v>
      </c>
      <c r="G44" s="2">
        <f t="shared" si="1"/>
        <v>47</v>
      </c>
    </row>
    <row r="45" spans="1:7" x14ac:dyDescent="0.25">
      <c r="A45" s="2">
        <v>39</v>
      </c>
      <c r="B45" s="51" t="s">
        <v>356</v>
      </c>
      <c r="C45" s="2">
        <v>3</v>
      </c>
      <c r="D45" s="2">
        <v>5</v>
      </c>
      <c r="E45" s="2">
        <v>4</v>
      </c>
      <c r="F45" s="2">
        <v>2</v>
      </c>
      <c r="G45" s="2">
        <f t="shared" si="1"/>
        <v>14</v>
      </c>
    </row>
    <row r="46" spans="1:7" x14ac:dyDescent="0.25">
      <c r="A46" s="2">
        <v>40</v>
      </c>
      <c r="B46" s="49" t="s">
        <v>357</v>
      </c>
      <c r="C46" s="2">
        <v>11</v>
      </c>
      <c r="D46" s="2">
        <v>10</v>
      </c>
      <c r="E46" s="2">
        <v>6</v>
      </c>
      <c r="F46" s="2"/>
      <c r="G46" s="2">
        <f>E46+D46+C46</f>
        <v>27</v>
      </c>
    </row>
    <row r="47" spans="1:7" x14ac:dyDescent="0.25">
      <c r="A47" s="2">
        <v>41</v>
      </c>
      <c r="B47" s="49" t="s">
        <v>358</v>
      </c>
      <c r="C47" s="2">
        <v>5</v>
      </c>
      <c r="D47" s="2">
        <v>12</v>
      </c>
      <c r="E47" s="2">
        <v>12</v>
      </c>
      <c r="F47" s="2">
        <v>5</v>
      </c>
      <c r="G47" s="2">
        <f>F47+E47+D47+C47</f>
        <v>34</v>
      </c>
    </row>
  </sheetData>
  <pageMargins left="0.7" right="0.7" top="0.75" bottom="0.75" header="0.3" footer="0.3"/>
  <pageSetup paperSize="9" scale="105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D11" sqref="D11"/>
    </sheetView>
  </sheetViews>
  <sheetFormatPr defaultRowHeight="15" x14ac:dyDescent="0.25"/>
  <cols>
    <col min="2" max="2" width="24.7109375" customWidth="1"/>
    <col min="3" max="3" width="21.42578125" style="25" customWidth="1"/>
    <col min="4" max="4" width="19.7109375" style="25" customWidth="1"/>
    <col min="5" max="5" width="20.5703125" style="25" customWidth="1"/>
    <col min="6" max="6" width="19.140625" style="25" customWidth="1"/>
    <col min="7" max="7" width="18.42578125" style="25" customWidth="1"/>
  </cols>
  <sheetData>
    <row r="1" spans="1:7" ht="20.25" x14ac:dyDescent="0.3">
      <c r="A1" s="32"/>
      <c r="B1" s="44"/>
      <c r="C1" s="31"/>
      <c r="D1" s="31" t="s">
        <v>134</v>
      </c>
      <c r="E1" s="31"/>
      <c r="F1" s="32"/>
      <c r="G1" s="32"/>
    </row>
    <row r="2" spans="1:7" ht="20.25" x14ac:dyDescent="0.3">
      <c r="A2" s="32"/>
      <c r="B2" s="44"/>
      <c r="C2" s="31"/>
      <c r="D2" s="31" t="s">
        <v>135</v>
      </c>
      <c r="E2" s="31"/>
      <c r="F2" s="32"/>
      <c r="G2" s="32"/>
    </row>
    <row r="3" spans="1:7" ht="20.25" x14ac:dyDescent="0.3">
      <c r="A3" s="32"/>
      <c r="B3" s="44"/>
      <c r="C3" s="31"/>
      <c r="D3" s="31" t="s">
        <v>450</v>
      </c>
      <c r="E3" s="31"/>
      <c r="F3" s="32"/>
      <c r="G3" s="32"/>
    </row>
    <row r="4" spans="1:7" x14ac:dyDescent="0.25">
      <c r="A4" s="3" t="s">
        <v>1</v>
      </c>
      <c r="B4" s="36" t="s">
        <v>2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4</v>
      </c>
    </row>
    <row r="5" spans="1:7" x14ac:dyDescent="0.25">
      <c r="A5" s="5"/>
      <c r="B5" s="45"/>
      <c r="C5" s="53" t="s">
        <v>399</v>
      </c>
      <c r="D5" s="53" t="s">
        <v>111</v>
      </c>
      <c r="E5" s="53" t="s">
        <v>54</v>
      </c>
      <c r="F5" s="53" t="s">
        <v>133</v>
      </c>
      <c r="G5" s="7" t="s">
        <v>108</v>
      </c>
    </row>
    <row r="6" spans="1:7" x14ac:dyDescent="0.25">
      <c r="A6" s="9"/>
      <c r="B6" s="46"/>
      <c r="C6" s="11" t="s">
        <v>7</v>
      </c>
      <c r="D6" s="11" t="s">
        <v>8</v>
      </c>
      <c r="E6" s="11" t="s">
        <v>9</v>
      </c>
      <c r="F6" s="11" t="s">
        <v>10</v>
      </c>
      <c r="G6" s="12"/>
    </row>
    <row r="7" spans="1:7" x14ac:dyDescent="0.25">
      <c r="A7" s="2">
        <v>1</v>
      </c>
      <c r="B7" s="52" t="s">
        <v>360</v>
      </c>
      <c r="C7" s="2">
        <v>9</v>
      </c>
      <c r="D7" s="2">
        <v>17</v>
      </c>
      <c r="E7" s="2">
        <v>17</v>
      </c>
      <c r="F7" s="2">
        <v>12</v>
      </c>
      <c r="G7" s="2">
        <f>C7+D7+E7+F7</f>
        <v>55</v>
      </c>
    </row>
    <row r="8" spans="1:7" x14ac:dyDescent="0.25">
      <c r="A8" s="2">
        <v>2</v>
      </c>
      <c r="B8" s="52" t="s">
        <v>361</v>
      </c>
      <c r="C8" s="2">
        <v>8</v>
      </c>
      <c r="D8" s="2">
        <v>8</v>
      </c>
      <c r="E8" s="2">
        <v>12</v>
      </c>
      <c r="F8" s="2">
        <v>6</v>
      </c>
      <c r="G8" s="2">
        <f>C8+D8+E8+F8</f>
        <v>34</v>
      </c>
    </row>
    <row r="9" spans="1:7" x14ac:dyDescent="0.25">
      <c r="A9" s="2">
        <v>3</v>
      </c>
      <c r="B9" s="52" t="s">
        <v>362</v>
      </c>
      <c r="C9" s="2">
        <v>9</v>
      </c>
      <c r="D9" s="2">
        <v>12</v>
      </c>
      <c r="E9" s="2">
        <v>11</v>
      </c>
      <c r="F9" s="2">
        <v>7</v>
      </c>
      <c r="G9" s="2">
        <f>F9+E9+D9+C9</f>
        <v>39</v>
      </c>
    </row>
    <row r="10" spans="1:7" x14ac:dyDescent="0.25">
      <c r="A10" s="2">
        <v>4</v>
      </c>
      <c r="B10" s="52" t="s">
        <v>363</v>
      </c>
      <c r="C10" s="2">
        <v>3</v>
      </c>
      <c r="D10" s="2">
        <v>4</v>
      </c>
      <c r="E10" s="2">
        <v>5</v>
      </c>
      <c r="F10" s="2">
        <v>3</v>
      </c>
      <c r="G10" s="2">
        <f>F10+E10+D10+C10</f>
        <v>15</v>
      </c>
    </row>
    <row r="11" spans="1:7" x14ac:dyDescent="0.25">
      <c r="A11" s="2">
        <v>5</v>
      </c>
      <c r="B11" s="52" t="s">
        <v>364</v>
      </c>
      <c r="C11" s="2">
        <v>12</v>
      </c>
      <c r="D11" s="2">
        <v>15</v>
      </c>
      <c r="E11" s="2">
        <v>17</v>
      </c>
      <c r="F11" s="2">
        <v>13</v>
      </c>
      <c r="G11" s="2">
        <f>F11+E11+D11+C11</f>
        <v>57</v>
      </c>
    </row>
    <row r="12" spans="1:7" x14ac:dyDescent="0.25">
      <c r="A12" s="2">
        <v>6</v>
      </c>
      <c r="B12" s="52" t="s">
        <v>365</v>
      </c>
      <c r="C12" s="2">
        <v>2</v>
      </c>
      <c r="D12" s="2">
        <v>4</v>
      </c>
      <c r="E12" s="2">
        <v>9</v>
      </c>
      <c r="F12" s="2">
        <v>6</v>
      </c>
      <c r="G12" s="2">
        <f>F12+E12+D12+C12</f>
        <v>21</v>
      </c>
    </row>
    <row r="13" spans="1:7" x14ac:dyDescent="0.25">
      <c r="A13" s="2">
        <v>7</v>
      </c>
      <c r="B13" s="52" t="s">
        <v>366</v>
      </c>
      <c r="C13" s="2"/>
      <c r="D13" s="2"/>
      <c r="E13" s="2">
        <v>0</v>
      </c>
      <c r="F13" s="2"/>
      <c r="G13" s="2"/>
    </row>
    <row r="14" spans="1:7" x14ac:dyDescent="0.25">
      <c r="A14" s="2">
        <v>8</v>
      </c>
      <c r="B14" s="52" t="s">
        <v>367</v>
      </c>
      <c r="C14" s="2"/>
      <c r="D14" s="2">
        <v>2</v>
      </c>
      <c r="E14" s="2">
        <v>3</v>
      </c>
      <c r="F14" s="2">
        <v>4</v>
      </c>
      <c r="G14" s="2">
        <f>F14+E14+D14</f>
        <v>9</v>
      </c>
    </row>
    <row r="15" spans="1:7" x14ac:dyDescent="0.25">
      <c r="A15" s="2">
        <v>9</v>
      </c>
      <c r="B15" s="52" t="s">
        <v>368</v>
      </c>
      <c r="C15" s="2">
        <v>6</v>
      </c>
      <c r="D15" s="2">
        <v>12</v>
      </c>
      <c r="E15" s="2">
        <v>6</v>
      </c>
      <c r="F15" s="2">
        <v>4</v>
      </c>
      <c r="G15" s="2">
        <f>F15+E15+D15+C15</f>
        <v>28</v>
      </c>
    </row>
    <row r="16" spans="1:7" x14ac:dyDescent="0.25">
      <c r="A16" s="2">
        <v>10</v>
      </c>
      <c r="B16" s="52" t="s">
        <v>369</v>
      </c>
      <c r="C16" s="2">
        <v>5</v>
      </c>
      <c r="D16" s="2">
        <v>10</v>
      </c>
      <c r="E16" s="2">
        <v>8</v>
      </c>
      <c r="F16" s="2">
        <v>4</v>
      </c>
      <c r="G16" s="2">
        <f>F16+E16+D16+C16</f>
        <v>27</v>
      </c>
    </row>
    <row r="17" spans="1:7" x14ac:dyDescent="0.25">
      <c r="A17" s="2">
        <v>11</v>
      </c>
      <c r="B17" s="52" t="s">
        <v>370</v>
      </c>
      <c r="C17" s="2">
        <v>3</v>
      </c>
      <c r="D17" s="2">
        <v>0</v>
      </c>
      <c r="E17" s="2"/>
      <c r="F17" s="2"/>
      <c r="G17" s="2">
        <f>C17</f>
        <v>3</v>
      </c>
    </row>
    <row r="18" spans="1:7" x14ac:dyDescent="0.25">
      <c r="A18" s="2">
        <v>12</v>
      </c>
      <c r="B18" s="52" t="s">
        <v>371</v>
      </c>
      <c r="C18" s="2"/>
      <c r="D18" s="2">
        <v>7</v>
      </c>
      <c r="E18" s="2">
        <v>6</v>
      </c>
      <c r="F18" s="2">
        <v>4</v>
      </c>
      <c r="G18" s="2">
        <f>F18+E18+D18</f>
        <v>17</v>
      </c>
    </row>
    <row r="19" spans="1:7" x14ac:dyDescent="0.25">
      <c r="A19" s="2">
        <v>13</v>
      </c>
      <c r="B19" s="52" t="s">
        <v>372</v>
      </c>
      <c r="C19" s="2">
        <v>9</v>
      </c>
      <c r="D19" s="2">
        <v>19</v>
      </c>
      <c r="E19" s="2">
        <v>11</v>
      </c>
      <c r="F19" s="2">
        <v>5</v>
      </c>
      <c r="G19" s="2">
        <f>F19+E19+D19+C19</f>
        <v>44</v>
      </c>
    </row>
    <row r="20" spans="1:7" x14ac:dyDescent="0.25">
      <c r="A20" s="2">
        <v>14</v>
      </c>
      <c r="B20" s="52" t="s">
        <v>373</v>
      </c>
      <c r="C20" s="2"/>
      <c r="D20" s="2">
        <v>0</v>
      </c>
      <c r="E20" s="2">
        <v>2</v>
      </c>
      <c r="F20" s="2"/>
      <c r="G20" s="2">
        <f>E20</f>
        <v>2</v>
      </c>
    </row>
    <row r="21" spans="1:7" x14ac:dyDescent="0.25">
      <c r="A21" s="2">
        <v>15</v>
      </c>
      <c r="B21" s="52" t="s">
        <v>374</v>
      </c>
      <c r="C21" s="2">
        <v>11</v>
      </c>
      <c r="D21" s="2">
        <v>20</v>
      </c>
      <c r="E21" s="2">
        <v>15</v>
      </c>
      <c r="F21" s="2">
        <v>9</v>
      </c>
      <c r="G21" s="2">
        <f>F21+E21+D21+C21</f>
        <v>55</v>
      </c>
    </row>
    <row r="22" spans="1:7" x14ac:dyDescent="0.25">
      <c r="A22" s="2">
        <v>16</v>
      </c>
      <c r="B22" s="52" t="s">
        <v>375</v>
      </c>
      <c r="C22" s="2"/>
      <c r="D22" s="2">
        <v>3</v>
      </c>
      <c r="E22" s="2">
        <v>3</v>
      </c>
      <c r="F22" s="2">
        <v>1</v>
      </c>
      <c r="G22" s="2">
        <f>F22+E22+D22</f>
        <v>7</v>
      </c>
    </row>
    <row r="23" spans="1:7" x14ac:dyDescent="0.25">
      <c r="A23" s="2">
        <v>17</v>
      </c>
      <c r="B23" s="52" t="s">
        <v>376</v>
      </c>
      <c r="C23" s="2">
        <v>8</v>
      </c>
      <c r="D23" s="2">
        <v>10</v>
      </c>
      <c r="E23" s="2">
        <v>0</v>
      </c>
      <c r="F23" s="2">
        <v>0</v>
      </c>
      <c r="G23" s="2">
        <f>F23+D23+C23</f>
        <v>18</v>
      </c>
    </row>
    <row r="24" spans="1:7" x14ac:dyDescent="0.25">
      <c r="A24" s="2">
        <v>18</v>
      </c>
      <c r="B24" s="52" t="s">
        <v>377</v>
      </c>
      <c r="C24" s="2">
        <v>4</v>
      </c>
      <c r="D24" s="2">
        <v>5</v>
      </c>
      <c r="E24" s="2">
        <v>3</v>
      </c>
      <c r="F24" s="2">
        <v>2</v>
      </c>
      <c r="G24" s="2">
        <f>F24+E24+D24+C24</f>
        <v>14</v>
      </c>
    </row>
    <row r="25" spans="1:7" x14ac:dyDescent="0.25">
      <c r="A25" s="2">
        <v>19</v>
      </c>
      <c r="B25" s="52" t="s">
        <v>378</v>
      </c>
      <c r="C25" s="2">
        <v>5</v>
      </c>
      <c r="D25" s="2">
        <v>9</v>
      </c>
      <c r="E25" s="2">
        <v>9</v>
      </c>
      <c r="F25" s="2">
        <v>2</v>
      </c>
      <c r="G25" s="2">
        <f>F25+E25+D25+C25</f>
        <v>25</v>
      </c>
    </row>
    <row r="26" spans="1:7" x14ac:dyDescent="0.25">
      <c r="A26" s="2">
        <v>20</v>
      </c>
      <c r="B26" s="52" t="s">
        <v>379</v>
      </c>
      <c r="C26" s="2"/>
      <c r="D26" s="2">
        <v>0</v>
      </c>
      <c r="E26" s="2">
        <v>3</v>
      </c>
      <c r="F26" s="2">
        <v>3</v>
      </c>
      <c r="G26" s="2">
        <f>F26+E26+D26</f>
        <v>6</v>
      </c>
    </row>
    <row r="27" spans="1:7" x14ac:dyDescent="0.25">
      <c r="A27" s="2">
        <v>21</v>
      </c>
      <c r="B27" s="52" t="s">
        <v>380</v>
      </c>
      <c r="C27" s="2"/>
      <c r="D27" s="2">
        <v>10</v>
      </c>
      <c r="E27" s="2">
        <v>6</v>
      </c>
      <c r="F27" s="2"/>
      <c r="G27" s="2">
        <f>E27+D27</f>
        <v>16</v>
      </c>
    </row>
    <row r="28" spans="1:7" x14ac:dyDescent="0.25">
      <c r="A28" s="2">
        <v>22</v>
      </c>
      <c r="B28" s="52" t="s">
        <v>381</v>
      </c>
      <c r="C28" s="2"/>
      <c r="D28" s="2">
        <v>7</v>
      </c>
      <c r="E28" s="2">
        <v>9</v>
      </c>
      <c r="F28" s="2"/>
      <c r="G28" s="2">
        <f>E28+D28</f>
        <v>16</v>
      </c>
    </row>
    <row r="29" spans="1:7" x14ac:dyDescent="0.25">
      <c r="A29" s="2">
        <v>23</v>
      </c>
      <c r="B29" s="52" t="s">
        <v>382</v>
      </c>
      <c r="C29" s="2">
        <v>6</v>
      </c>
      <c r="D29" s="2">
        <v>12</v>
      </c>
      <c r="E29" s="2">
        <v>5</v>
      </c>
      <c r="F29" s="2">
        <v>6</v>
      </c>
      <c r="G29" s="2">
        <f>F29+E29+D29+C29</f>
        <v>29</v>
      </c>
    </row>
    <row r="30" spans="1:7" x14ac:dyDescent="0.25">
      <c r="A30" s="2">
        <v>24</v>
      </c>
      <c r="B30" s="52" t="s">
        <v>383</v>
      </c>
      <c r="C30" s="2">
        <v>8</v>
      </c>
      <c r="D30" s="2"/>
      <c r="E30" s="2">
        <v>3</v>
      </c>
      <c r="F30" s="2">
        <v>4</v>
      </c>
      <c r="G30" s="2">
        <f>F30+E30+C30</f>
        <v>15</v>
      </c>
    </row>
    <row r="31" spans="1:7" x14ac:dyDescent="0.25">
      <c r="A31" s="2">
        <v>25</v>
      </c>
      <c r="B31" s="52" t="s">
        <v>384</v>
      </c>
      <c r="C31" s="2">
        <v>5</v>
      </c>
      <c r="D31" s="2">
        <v>13</v>
      </c>
      <c r="E31" s="2">
        <v>6</v>
      </c>
      <c r="F31" s="2">
        <v>7</v>
      </c>
      <c r="G31" s="2">
        <f>F31+E31+D31+C31</f>
        <v>31</v>
      </c>
    </row>
    <row r="32" spans="1:7" x14ac:dyDescent="0.25">
      <c r="A32" s="2">
        <v>26</v>
      </c>
      <c r="B32" s="52" t="s">
        <v>385</v>
      </c>
      <c r="C32" s="2"/>
      <c r="D32" s="2">
        <v>14</v>
      </c>
      <c r="E32" s="2">
        <v>8</v>
      </c>
      <c r="F32" s="2">
        <v>7</v>
      </c>
      <c r="G32" s="2">
        <f>F32+E32+D32+C32</f>
        <v>29</v>
      </c>
    </row>
    <row r="33" spans="1:7" x14ac:dyDescent="0.25">
      <c r="A33" s="2">
        <v>27</v>
      </c>
      <c r="B33" s="52" t="s">
        <v>386</v>
      </c>
      <c r="C33" s="2">
        <v>6</v>
      </c>
      <c r="D33" s="2">
        <v>10</v>
      </c>
      <c r="E33" s="2">
        <v>8</v>
      </c>
      <c r="F33" s="2">
        <v>4</v>
      </c>
      <c r="G33" s="2">
        <f>F33+E33+D33+C33</f>
        <v>28</v>
      </c>
    </row>
    <row r="34" spans="1:7" x14ac:dyDescent="0.25">
      <c r="A34" s="2">
        <v>28</v>
      </c>
      <c r="B34" s="52" t="s">
        <v>387</v>
      </c>
      <c r="C34" s="2">
        <v>1</v>
      </c>
      <c r="D34" s="2">
        <v>4</v>
      </c>
      <c r="E34" s="2">
        <v>3</v>
      </c>
      <c r="F34" s="2"/>
      <c r="G34" s="2">
        <f>C34+D34</f>
        <v>5</v>
      </c>
    </row>
    <row r="35" spans="1:7" x14ac:dyDescent="0.25">
      <c r="A35" s="2">
        <v>29</v>
      </c>
      <c r="B35" s="52" t="s">
        <v>388</v>
      </c>
      <c r="C35" s="2">
        <v>9</v>
      </c>
      <c r="D35" s="2">
        <v>9</v>
      </c>
      <c r="E35" s="2">
        <v>16</v>
      </c>
      <c r="F35" s="2">
        <v>9</v>
      </c>
      <c r="G35" s="2">
        <f>F35+E35+D35+C35</f>
        <v>43</v>
      </c>
    </row>
    <row r="36" spans="1:7" x14ac:dyDescent="0.25">
      <c r="A36" s="2">
        <v>30</v>
      </c>
      <c r="B36" s="52" t="s">
        <v>389</v>
      </c>
      <c r="C36" s="2">
        <v>6</v>
      </c>
      <c r="D36" s="2">
        <v>8</v>
      </c>
      <c r="E36" s="2">
        <v>5</v>
      </c>
      <c r="F36" s="2">
        <v>3</v>
      </c>
      <c r="G36" s="2">
        <f>F36+E36+D36+C36</f>
        <v>22</v>
      </c>
    </row>
    <row r="37" spans="1:7" x14ac:dyDescent="0.25">
      <c r="A37" s="2">
        <v>31</v>
      </c>
      <c r="B37" s="52" t="s">
        <v>390</v>
      </c>
      <c r="C37" s="2">
        <v>9</v>
      </c>
      <c r="D37" s="2">
        <v>13</v>
      </c>
      <c r="E37" s="2">
        <v>7</v>
      </c>
      <c r="F37" s="2">
        <v>4</v>
      </c>
      <c r="G37" s="2">
        <f>F37+E37+D37+C37</f>
        <v>33</v>
      </c>
    </row>
    <row r="38" spans="1:7" x14ac:dyDescent="0.25">
      <c r="A38" s="2">
        <v>32</v>
      </c>
      <c r="B38" s="52" t="s">
        <v>391</v>
      </c>
      <c r="C38" s="2">
        <v>9</v>
      </c>
      <c r="D38" s="2">
        <v>12</v>
      </c>
      <c r="E38" s="2">
        <v>8</v>
      </c>
      <c r="F38" s="2">
        <v>5</v>
      </c>
      <c r="G38" s="2">
        <f>F38+E38+D38+C38</f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workbookViewId="0">
      <selection activeCell="G14" sqref="G14"/>
    </sheetView>
  </sheetViews>
  <sheetFormatPr defaultRowHeight="15" x14ac:dyDescent="0.25"/>
  <cols>
    <col min="2" max="2" width="23.7109375" customWidth="1"/>
    <col min="3" max="3" width="19.7109375" style="25" customWidth="1"/>
    <col min="4" max="4" width="19" style="25" customWidth="1"/>
    <col min="5" max="5" width="20.140625" style="25" customWidth="1"/>
    <col min="6" max="6" width="18.7109375" style="25" customWidth="1"/>
    <col min="7" max="7" width="19.5703125" style="25" customWidth="1"/>
  </cols>
  <sheetData>
    <row r="1" spans="1:7" ht="20.25" x14ac:dyDescent="0.3">
      <c r="A1" s="32"/>
      <c r="B1" s="44"/>
      <c r="C1" s="31"/>
      <c r="D1" s="31" t="s">
        <v>134</v>
      </c>
      <c r="E1" s="31"/>
      <c r="F1" s="32"/>
      <c r="G1" s="32"/>
    </row>
    <row r="2" spans="1:7" ht="20.25" x14ac:dyDescent="0.3">
      <c r="A2" s="32"/>
      <c r="B2" s="44"/>
      <c r="C2" s="31"/>
      <c r="D2" s="31" t="s">
        <v>135</v>
      </c>
      <c r="E2" s="31"/>
      <c r="F2" s="32"/>
      <c r="G2" s="32"/>
    </row>
    <row r="3" spans="1:7" ht="20.25" x14ac:dyDescent="0.3">
      <c r="A3" s="32"/>
      <c r="B3" s="44"/>
      <c r="C3" s="31"/>
      <c r="D3" s="31" t="s">
        <v>449</v>
      </c>
      <c r="E3" s="31"/>
      <c r="F3" s="32"/>
      <c r="G3" s="32"/>
    </row>
    <row r="4" spans="1:7" x14ac:dyDescent="0.25">
      <c r="A4" s="3" t="s">
        <v>1</v>
      </c>
      <c r="B4" s="36" t="s">
        <v>2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4</v>
      </c>
    </row>
    <row r="5" spans="1:7" x14ac:dyDescent="0.25">
      <c r="A5" s="5"/>
      <c r="B5" s="45"/>
      <c r="C5" s="53" t="s">
        <v>5</v>
      </c>
      <c r="D5" s="53" t="s">
        <v>111</v>
      </c>
      <c r="E5" s="53" t="s">
        <v>447</v>
      </c>
      <c r="F5" s="53" t="s">
        <v>448</v>
      </c>
      <c r="G5" s="7" t="s">
        <v>137</v>
      </c>
    </row>
    <row r="6" spans="1:7" x14ac:dyDescent="0.25">
      <c r="A6" s="9"/>
      <c r="B6" s="46"/>
      <c r="C6" s="11" t="s">
        <v>7</v>
      </c>
      <c r="D6" s="11" t="s">
        <v>8</v>
      </c>
      <c r="E6" s="11" t="s">
        <v>9</v>
      </c>
      <c r="F6" s="11" t="s">
        <v>10</v>
      </c>
      <c r="G6" s="12"/>
    </row>
    <row r="7" spans="1:7" ht="18" x14ac:dyDescent="0.25">
      <c r="A7" s="54">
        <v>1</v>
      </c>
      <c r="B7" s="14" t="s">
        <v>400</v>
      </c>
      <c r="C7" s="2">
        <v>15</v>
      </c>
      <c r="D7" s="2">
        <v>19</v>
      </c>
      <c r="E7" s="2">
        <v>10</v>
      </c>
      <c r="F7" s="2">
        <v>15</v>
      </c>
      <c r="G7" s="2">
        <f>D7+C7+E7+F7</f>
        <v>59</v>
      </c>
    </row>
    <row r="8" spans="1:7" ht="18" x14ac:dyDescent="0.25">
      <c r="A8" s="54">
        <v>2</v>
      </c>
      <c r="B8" s="14" t="s">
        <v>401</v>
      </c>
      <c r="C8" s="2">
        <v>15</v>
      </c>
      <c r="D8" s="2">
        <v>20</v>
      </c>
      <c r="E8" s="2">
        <v>9</v>
      </c>
      <c r="F8" s="2">
        <v>12</v>
      </c>
      <c r="G8" s="2">
        <f>C8+D8+E8+F8</f>
        <v>56</v>
      </c>
    </row>
    <row r="9" spans="1:7" ht="18" x14ac:dyDescent="0.25">
      <c r="A9" s="54">
        <v>3</v>
      </c>
      <c r="B9" s="14" t="s">
        <v>402</v>
      </c>
      <c r="C9" s="2">
        <v>13</v>
      </c>
      <c r="D9" s="2">
        <v>21</v>
      </c>
      <c r="E9" s="2">
        <v>9</v>
      </c>
      <c r="F9" s="2">
        <v>16</v>
      </c>
      <c r="G9" s="2">
        <f>C9+D9+E9+F9</f>
        <v>59</v>
      </c>
    </row>
    <row r="10" spans="1:7" ht="18" x14ac:dyDescent="0.25">
      <c r="A10" s="54">
        <v>4</v>
      </c>
      <c r="B10" s="14" t="s">
        <v>403</v>
      </c>
      <c r="C10" s="2">
        <v>7</v>
      </c>
      <c r="D10" s="2">
        <v>12</v>
      </c>
      <c r="E10" s="2">
        <v>5</v>
      </c>
      <c r="F10" s="2">
        <v>4</v>
      </c>
      <c r="G10" s="2">
        <f>C10+D10+E10+F10</f>
        <v>28</v>
      </c>
    </row>
    <row r="11" spans="1:7" ht="18" x14ac:dyDescent="0.25">
      <c r="A11" s="54">
        <v>5</v>
      </c>
      <c r="B11" s="14" t="s">
        <v>404</v>
      </c>
      <c r="C11" s="2">
        <v>7</v>
      </c>
      <c r="D11" s="2">
        <v>19</v>
      </c>
      <c r="E11" s="2">
        <v>9</v>
      </c>
      <c r="F11" s="2">
        <v>19</v>
      </c>
      <c r="G11" s="2">
        <f>C11+D11+E11+F11</f>
        <v>54</v>
      </c>
    </row>
    <row r="12" spans="1:7" ht="18" x14ac:dyDescent="0.25">
      <c r="A12" s="54">
        <v>6</v>
      </c>
      <c r="B12" s="14" t="s">
        <v>405</v>
      </c>
      <c r="C12" s="2">
        <v>16</v>
      </c>
      <c r="D12" s="2">
        <v>22</v>
      </c>
      <c r="E12" s="2"/>
      <c r="F12" s="2">
        <v>19</v>
      </c>
      <c r="G12" s="2">
        <f>F12+E12+D12+C12</f>
        <v>57</v>
      </c>
    </row>
    <row r="13" spans="1:7" ht="18" x14ac:dyDescent="0.25">
      <c r="A13" s="54">
        <v>7</v>
      </c>
      <c r="B13" s="14" t="s">
        <v>406</v>
      </c>
      <c r="C13" s="2">
        <v>17</v>
      </c>
      <c r="D13" s="2">
        <v>21</v>
      </c>
      <c r="E13" s="2">
        <v>9</v>
      </c>
      <c r="F13" s="2">
        <v>19</v>
      </c>
      <c r="G13" s="2">
        <f>F13+E13+D13+C13</f>
        <v>66</v>
      </c>
    </row>
    <row r="14" spans="1:7" ht="18" x14ac:dyDescent="0.25">
      <c r="A14" s="54">
        <v>8</v>
      </c>
      <c r="B14" s="14" t="s">
        <v>407</v>
      </c>
      <c r="C14" s="2"/>
      <c r="D14" s="2"/>
      <c r="E14" s="2">
        <v>2</v>
      </c>
      <c r="F14" s="2">
        <v>14</v>
      </c>
      <c r="G14" s="2">
        <f>E14+F14</f>
        <v>16</v>
      </c>
    </row>
    <row r="15" spans="1:7" ht="18" x14ac:dyDescent="0.25">
      <c r="A15" s="54">
        <v>9</v>
      </c>
      <c r="B15" s="14" t="s">
        <v>408</v>
      </c>
      <c r="C15" s="2">
        <v>13</v>
      </c>
      <c r="D15" s="2">
        <v>18</v>
      </c>
      <c r="E15" s="2">
        <v>10</v>
      </c>
      <c r="F15" s="2">
        <v>14</v>
      </c>
      <c r="G15" s="2">
        <f t="shared" ref="G15:G20" si="0">F15+E15+D15+C15</f>
        <v>55</v>
      </c>
    </row>
    <row r="16" spans="1:7" ht="18" x14ac:dyDescent="0.25">
      <c r="A16" s="54">
        <v>10</v>
      </c>
      <c r="B16" s="14" t="s">
        <v>409</v>
      </c>
      <c r="C16" s="2">
        <v>11</v>
      </c>
      <c r="D16" s="2">
        <v>14</v>
      </c>
      <c r="E16" s="2">
        <v>4</v>
      </c>
      <c r="F16" s="2">
        <v>6</v>
      </c>
      <c r="G16" s="2">
        <f t="shared" si="0"/>
        <v>35</v>
      </c>
    </row>
    <row r="17" spans="1:7" ht="18" x14ac:dyDescent="0.25">
      <c r="A17" s="54">
        <v>11</v>
      </c>
      <c r="B17" s="14" t="s">
        <v>410</v>
      </c>
      <c r="C17" s="2"/>
      <c r="D17" s="2">
        <v>9</v>
      </c>
      <c r="E17" s="2">
        <v>5</v>
      </c>
      <c r="F17" s="2">
        <v>6</v>
      </c>
      <c r="G17" s="2">
        <f t="shared" si="0"/>
        <v>20</v>
      </c>
    </row>
    <row r="18" spans="1:7" ht="18" x14ac:dyDescent="0.25">
      <c r="A18" s="54">
        <v>12</v>
      </c>
      <c r="B18" s="14" t="s">
        <v>411</v>
      </c>
      <c r="C18" s="2">
        <v>6</v>
      </c>
      <c r="D18" s="2">
        <v>9</v>
      </c>
      <c r="E18" s="2">
        <v>2</v>
      </c>
      <c r="F18" s="2">
        <v>3</v>
      </c>
      <c r="G18" s="2">
        <f t="shared" si="0"/>
        <v>20</v>
      </c>
    </row>
    <row r="19" spans="1:7" ht="18" x14ac:dyDescent="0.25">
      <c r="A19" s="54">
        <v>13</v>
      </c>
      <c r="B19" s="14" t="s">
        <v>412</v>
      </c>
      <c r="C19" s="2"/>
      <c r="D19" s="2">
        <v>5</v>
      </c>
      <c r="E19" s="2">
        <v>7</v>
      </c>
      <c r="F19" s="2">
        <v>15</v>
      </c>
      <c r="G19" s="2">
        <f t="shared" si="0"/>
        <v>27</v>
      </c>
    </row>
    <row r="20" spans="1:7" ht="18" x14ac:dyDescent="0.25">
      <c r="A20" s="54">
        <v>14</v>
      </c>
      <c r="B20" s="14" t="s">
        <v>413</v>
      </c>
      <c r="C20" s="2">
        <v>11</v>
      </c>
      <c r="D20" s="2">
        <v>20</v>
      </c>
      <c r="E20" s="2">
        <v>8</v>
      </c>
      <c r="F20" s="2">
        <v>16</v>
      </c>
      <c r="G20" s="2">
        <f t="shared" si="0"/>
        <v>55</v>
      </c>
    </row>
    <row r="21" spans="1:7" ht="18" x14ac:dyDescent="0.25">
      <c r="A21" s="54">
        <v>15</v>
      </c>
      <c r="B21" s="14" t="s">
        <v>414</v>
      </c>
      <c r="C21" s="2"/>
      <c r="D21" s="2">
        <v>3</v>
      </c>
      <c r="E21" s="2">
        <v>2</v>
      </c>
      <c r="F21" s="2"/>
      <c r="G21" s="2">
        <f>E21+D21</f>
        <v>5</v>
      </c>
    </row>
    <row r="22" spans="1:7" ht="18" x14ac:dyDescent="0.25">
      <c r="A22" s="54">
        <v>16</v>
      </c>
      <c r="B22" s="14" t="s">
        <v>415</v>
      </c>
      <c r="C22" s="2">
        <v>3</v>
      </c>
      <c r="D22" s="2">
        <v>16</v>
      </c>
      <c r="E22" s="2">
        <v>9</v>
      </c>
      <c r="F22" s="2">
        <v>17</v>
      </c>
      <c r="G22" s="2">
        <f>F22+E22+D22+C22</f>
        <v>45</v>
      </c>
    </row>
    <row r="23" spans="1:7" ht="18" x14ac:dyDescent="0.25">
      <c r="A23" s="54">
        <v>17</v>
      </c>
      <c r="B23" s="14" t="s">
        <v>416</v>
      </c>
      <c r="C23" s="2">
        <v>12</v>
      </c>
      <c r="D23" s="2">
        <v>10</v>
      </c>
      <c r="E23" s="2">
        <v>5</v>
      </c>
      <c r="F23" s="2">
        <v>10</v>
      </c>
      <c r="G23" s="2">
        <f>F23+E23+D23+C23</f>
        <v>37</v>
      </c>
    </row>
    <row r="24" spans="1:7" ht="18" x14ac:dyDescent="0.25">
      <c r="A24" s="54">
        <v>18</v>
      </c>
      <c r="B24" s="14" t="s">
        <v>417</v>
      </c>
      <c r="C24" s="2">
        <v>15</v>
      </c>
      <c r="D24" s="2">
        <v>21</v>
      </c>
      <c r="E24" s="2">
        <v>10</v>
      </c>
      <c r="F24" s="2">
        <v>12</v>
      </c>
      <c r="G24" s="2">
        <f>F24+E24+D24+C24</f>
        <v>58</v>
      </c>
    </row>
    <row r="25" spans="1:7" ht="18" x14ac:dyDescent="0.25">
      <c r="A25" s="54">
        <v>19</v>
      </c>
      <c r="B25" s="14" t="s">
        <v>418</v>
      </c>
      <c r="C25" s="2">
        <v>14</v>
      </c>
      <c r="D25" s="2">
        <v>15</v>
      </c>
      <c r="E25" s="2">
        <v>10</v>
      </c>
      <c r="F25" s="2">
        <v>18</v>
      </c>
      <c r="G25" s="2">
        <f>F25+E25+D25+C25</f>
        <v>57</v>
      </c>
    </row>
    <row r="26" spans="1:7" ht="18" x14ac:dyDescent="0.25">
      <c r="A26" s="54">
        <v>20</v>
      </c>
      <c r="B26" s="14" t="s">
        <v>419</v>
      </c>
      <c r="C26" s="2">
        <v>7</v>
      </c>
      <c r="D26" s="2">
        <v>18</v>
      </c>
      <c r="E26" s="2">
        <v>5</v>
      </c>
      <c r="F26" s="2">
        <v>15</v>
      </c>
      <c r="G26" s="2">
        <f>F26+E26+D26+C26</f>
        <v>45</v>
      </c>
    </row>
    <row r="27" spans="1:7" ht="18" x14ac:dyDescent="0.25">
      <c r="A27" s="54">
        <v>21</v>
      </c>
      <c r="B27" s="14" t="s">
        <v>420</v>
      </c>
      <c r="C27" s="2"/>
      <c r="D27" s="2"/>
      <c r="E27" s="2">
        <v>6</v>
      </c>
      <c r="F27" s="2">
        <v>16</v>
      </c>
      <c r="G27" s="2">
        <f>F27+E27+D27</f>
        <v>22</v>
      </c>
    </row>
    <row r="28" spans="1:7" ht="18" x14ac:dyDescent="0.25">
      <c r="A28" s="54">
        <v>22</v>
      </c>
      <c r="B28" s="14" t="s">
        <v>421</v>
      </c>
      <c r="C28" s="2"/>
      <c r="D28" s="2">
        <v>18</v>
      </c>
      <c r="E28" s="2">
        <v>6</v>
      </c>
      <c r="F28" s="2">
        <v>14</v>
      </c>
      <c r="G28" s="2">
        <f>F28+E28+D28</f>
        <v>38</v>
      </c>
    </row>
    <row r="29" spans="1:7" ht="18" x14ac:dyDescent="0.25">
      <c r="A29" s="54">
        <v>23</v>
      </c>
      <c r="B29" s="14" t="s">
        <v>422</v>
      </c>
      <c r="C29" s="2">
        <v>9</v>
      </c>
      <c r="D29" s="2">
        <v>20</v>
      </c>
      <c r="E29" s="2">
        <v>10</v>
      </c>
      <c r="F29" s="2">
        <v>17</v>
      </c>
      <c r="G29" s="2">
        <f>F29+E29+D29+C29</f>
        <v>56</v>
      </c>
    </row>
    <row r="30" spans="1:7" ht="18" x14ac:dyDescent="0.25">
      <c r="A30" s="54">
        <v>24</v>
      </c>
      <c r="B30" s="14" t="s">
        <v>423</v>
      </c>
      <c r="C30" s="2"/>
      <c r="D30" s="2">
        <v>12</v>
      </c>
      <c r="E30" s="2">
        <v>11</v>
      </c>
      <c r="F30" s="2">
        <v>16</v>
      </c>
      <c r="G30" s="2">
        <f>F30+E30+D30</f>
        <v>39</v>
      </c>
    </row>
    <row r="31" spans="1:7" ht="18" x14ac:dyDescent="0.25">
      <c r="A31" s="54">
        <v>25</v>
      </c>
      <c r="B31" s="14" t="s">
        <v>424</v>
      </c>
      <c r="C31" s="2"/>
      <c r="D31" s="2">
        <v>12</v>
      </c>
      <c r="E31" s="2">
        <v>14</v>
      </c>
      <c r="F31" s="2">
        <v>20</v>
      </c>
      <c r="G31" s="2">
        <f>F31+E31+D31</f>
        <v>46</v>
      </c>
    </row>
    <row r="32" spans="1:7" ht="18" x14ac:dyDescent="0.25">
      <c r="A32" s="54">
        <v>26</v>
      </c>
      <c r="B32" s="14" t="s">
        <v>425</v>
      </c>
      <c r="C32" s="2">
        <v>15</v>
      </c>
      <c r="D32" s="2">
        <v>19</v>
      </c>
      <c r="E32" s="2">
        <v>9</v>
      </c>
      <c r="F32" s="2">
        <v>12</v>
      </c>
      <c r="G32" s="2">
        <f>F32+E32+D32+C32</f>
        <v>55</v>
      </c>
    </row>
    <row r="33" spans="1:7" ht="18" x14ac:dyDescent="0.25">
      <c r="A33" s="54">
        <v>27</v>
      </c>
      <c r="B33" s="14" t="s">
        <v>426</v>
      </c>
      <c r="C33" s="2"/>
      <c r="D33" s="2">
        <v>5</v>
      </c>
      <c r="E33" s="2"/>
      <c r="F33" s="2">
        <v>3</v>
      </c>
      <c r="G33" s="2">
        <f>F33+D33+E33</f>
        <v>8</v>
      </c>
    </row>
    <row r="34" spans="1:7" ht="18" x14ac:dyDescent="0.25">
      <c r="A34" s="54">
        <v>28</v>
      </c>
      <c r="B34" s="14" t="s">
        <v>427</v>
      </c>
      <c r="C34" s="2"/>
      <c r="D34" s="2">
        <v>7</v>
      </c>
      <c r="E34" s="2">
        <v>8</v>
      </c>
      <c r="F34" s="2">
        <v>16</v>
      </c>
      <c r="G34" s="2">
        <f>F34+E34+D34</f>
        <v>31</v>
      </c>
    </row>
    <row r="35" spans="1:7" ht="18" x14ac:dyDescent="0.25">
      <c r="A35" s="54">
        <v>29</v>
      </c>
      <c r="B35" s="14" t="s">
        <v>428</v>
      </c>
      <c r="C35" s="2">
        <v>12</v>
      </c>
      <c r="D35" s="2">
        <v>22</v>
      </c>
      <c r="E35" s="2">
        <v>11</v>
      </c>
      <c r="F35" s="2">
        <v>17</v>
      </c>
      <c r="G35" s="2">
        <f>F35+E35+D35+C35</f>
        <v>62</v>
      </c>
    </row>
    <row r="36" spans="1:7" ht="18" x14ac:dyDescent="0.25">
      <c r="A36" s="54">
        <v>30</v>
      </c>
      <c r="B36" s="14" t="s">
        <v>429</v>
      </c>
      <c r="C36" s="2">
        <v>17</v>
      </c>
      <c r="D36" s="2">
        <v>21</v>
      </c>
      <c r="E36" s="2">
        <v>20</v>
      </c>
      <c r="F36" s="2">
        <v>20</v>
      </c>
      <c r="G36" s="2">
        <f>F36+E36+D36+C36</f>
        <v>78</v>
      </c>
    </row>
    <row r="37" spans="1:7" ht="18" x14ac:dyDescent="0.25">
      <c r="A37" s="54">
        <v>31</v>
      </c>
      <c r="B37" s="14" t="s">
        <v>430</v>
      </c>
      <c r="C37" s="2"/>
      <c r="D37" s="2">
        <v>4</v>
      </c>
      <c r="E37" s="2">
        <v>1</v>
      </c>
      <c r="F37" s="2">
        <v>1</v>
      </c>
      <c r="G37" s="2">
        <f>F37+E37+D37</f>
        <v>6</v>
      </c>
    </row>
    <row r="38" spans="1:7" ht="18" x14ac:dyDescent="0.25">
      <c r="A38" s="54">
        <v>32</v>
      </c>
      <c r="B38" s="14" t="s">
        <v>431</v>
      </c>
      <c r="C38" s="2">
        <v>17</v>
      </c>
      <c r="D38" s="2">
        <v>22</v>
      </c>
      <c r="E38" s="2">
        <v>10</v>
      </c>
      <c r="F38" s="2">
        <v>21</v>
      </c>
      <c r="G38" s="2">
        <f>F38+E38+D38+C38</f>
        <v>70</v>
      </c>
    </row>
    <row r="39" spans="1:7" ht="18" x14ac:dyDescent="0.25">
      <c r="A39" s="54">
        <v>33</v>
      </c>
      <c r="B39" s="14" t="s">
        <v>432</v>
      </c>
      <c r="C39" s="2"/>
      <c r="D39" s="2">
        <v>12</v>
      </c>
      <c r="E39" s="2">
        <v>9</v>
      </c>
      <c r="F39" s="2">
        <v>16</v>
      </c>
      <c r="G39" s="2">
        <f>F39+E39+D39</f>
        <v>37</v>
      </c>
    </row>
    <row r="40" spans="1:7" ht="18" x14ac:dyDescent="0.25">
      <c r="A40" s="54">
        <v>34</v>
      </c>
      <c r="B40" s="14" t="s">
        <v>433</v>
      </c>
      <c r="C40" s="2"/>
      <c r="D40" s="2">
        <v>10</v>
      </c>
      <c r="E40" s="2">
        <v>3</v>
      </c>
      <c r="F40" s="2">
        <v>16</v>
      </c>
      <c r="G40" s="2">
        <f>F40+E40+D40</f>
        <v>29</v>
      </c>
    </row>
    <row r="41" spans="1:7" ht="18" x14ac:dyDescent="0.25">
      <c r="A41" s="54">
        <v>35</v>
      </c>
      <c r="B41" s="14" t="s">
        <v>434</v>
      </c>
      <c r="C41" s="2">
        <v>16</v>
      </c>
      <c r="D41" s="2">
        <v>21</v>
      </c>
      <c r="E41" s="2">
        <v>15</v>
      </c>
      <c r="F41" s="2">
        <v>22</v>
      </c>
      <c r="G41" s="2">
        <f>F41+E41+D41+C41</f>
        <v>74</v>
      </c>
    </row>
    <row r="42" spans="1:7" ht="18" x14ac:dyDescent="0.25">
      <c r="A42" s="54">
        <v>36</v>
      </c>
      <c r="B42" s="14" t="s">
        <v>435</v>
      </c>
      <c r="C42" s="2">
        <v>15</v>
      </c>
      <c r="D42" s="2">
        <v>19</v>
      </c>
      <c r="E42" s="2">
        <v>8</v>
      </c>
      <c r="F42" s="2">
        <v>17</v>
      </c>
      <c r="G42" s="2">
        <f>F42+E42+D42+C42</f>
        <v>59</v>
      </c>
    </row>
    <row r="43" spans="1:7" ht="18" x14ac:dyDescent="0.25">
      <c r="A43" s="54">
        <v>37</v>
      </c>
      <c r="B43" s="14" t="s">
        <v>436</v>
      </c>
      <c r="C43" s="2">
        <v>9</v>
      </c>
      <c r="D43" s="2">
        <v>19</v>
      </c>
      <c r="E43" s="2">
        <v>13</v>
      </c>
      <c r="F43" s="2">
        <v>16</v>
      </c>
      <c r="G43" s="2">
        <f>F43+E43+D43+C43</f>
        <v>57</v>
      </c>
    </row>
    <row r="44" spans="1:7" ht="18" x14ac:dyDescent="0.25">
      <c r="A44" s="54">
        <v>38</v>
      </c>
      <c r="B44" s="14" t="s">
        <v>437</v>
      </c>
      <c r="C44" s="2">
        <v>7</v>
      </c>
      <c r="D44" s="2">
        <v>17</v>
      </c>
      <c r="E44" s="2">
        <v>8</v>
      </c>
      <c r="F44" s="2">
        <v>16</v>
      </c>
      <c r="G44" s="2">
        <f>F44+E44+D44+C44</f>
        <v>48</v>
      </c>
    </row>
    <row r="45" spans="1:7" ht="18" x14ac:dyDescent="0.25">
      <c r="A45" s="54">
        <v>39</v>
      </c>
      <c r="B45" s="14" t="s">
        <v>438</v>
      </c>
      <c r="C45" s="2"/>
      <c r="D45" s="2"/>
      <c r="E45" s="2">
        <v>6</v>
      </c>
      <c r="F45" s="2">
        <v>12</v>
      </c>
      <c r="G45" s="2">
        <f>F45+E45</f>
        <v>18</v>
      </c>
    </row>
    <row r="46" spans="1:7" ht="18" x14ac:dyDescent="0.25">
      <c r="A46" s="54">
        <v>40</v>
      </c>
      <c r="B46" s="14" t="s">
        <v>439</v>
      </c>
      <c r="C46" s="2"/>
      <c r="D46" s="2"/>
      <c r="E46" s="2">
        <v>4</v>
      </c>
      <c r="F46" s="2">
        <v>10</v>
      </c>
      <c r="G46" s="2">
        <f>F46+E46</f>
        <v>14</v>
      </c>
    </row>
    <row r="47" spans="1:7" ht="18" x14ac:dyDescent="0.25">
      <c r="A47" s="54">
        <v>41</v>
      </c>
      <c r="B47" s="14" t="s">
        <v>440</v>
      </c>
      <c r="C47" s="2"/>
      <c r="D47" s="2"/>
      <c r="E47" s="2">
        <v>6</v>
      </c>
      <c r="F47" s="2">
        <v>11</v>
      </c>
      <c r="G47" s="2">
        <f>F47+E47</f>
        <v>17</v>
      </c>
    </row>
    <row r="48" spans="1:7" ht="18" x14ac:dyDescent="0.25">
      <c r="A48" s="54">
        <v>43</v>
      </c>
      <c r="B48" s="14" t="s">
        <v>441</v>
      </c>
      <c r="C48" s="2">
        <v>9</v>
      </c>
      <c r="D48" s="2">
        <v>17</v>
      </c>
      <c r="E48" s="2">
        <v>6</v>
      </c>
      <c r="F48" s="2">
        <v>7</v>
      </c>
      <c r="G48" s="2">
        <f>F48+E48+D48+C48</f>
        <v>39</v>
      </c>
    </row>
    <row r="49" spans="1:7" ht="18" x14ac:dyDescent="0.25">
      <c r="A49" s="54">
        <v>44</v>
      </c>
      <c r="B49" s="14" t="s">
        <v>442</v>
      </c>
      <c r="C49" s="2">
        <v>9</v>
      </c>
      <c r="D49" s="2">
        <v>11</v>
      </c>
      <c r="E49" s="2">
        <v>5</v>
      </c>
      <c r="F49" s="2">
        <v>9</v>
      </c>
      <c r="G49" s="2">
        <f>F49+E49+D49+C49</f>
        <v>34</v>
      </c>
    </row>
    <row r="50" spans="1:7" ht="18" x14ac:dyDescent="0.25">
      <c r="A50" s="54">
        <v>45</v>
      </c>
      <c r="B50" s="14" t="s">
        <v>443</v>
      </c>
      <c r="C50" s="2">
        <v>2</v>
      </c>
      <c r="D50" s="2">
        <v>9</v>
      </c>
      <c r="E50" s="2">
        <v>6</v>
      </c>
      <c r="F50" s="2">
        <v>12</v>
      </c>
      <c r="G50" s="2">
        <f>F50+E50+D50+C50</f>
        <v>29</v>
      </c>
    </row>
    <row r="51" spans="1:7" ht="18" x14ac:dyDescent="0.25">
      <c r="A51" s="54">
        <v>46</v>
      </c>
      <c r="B51" s="14" t="s">
        <v>444</v>
      </c>
      <c r="C51" s="2"/>
      <c r="D51" s="2">
        <v>12</v>
      </c>
      <c r="E51" s="2">
        <v>8</v>
      </c>
      <c r="F51" s="2">
        <v>9</v>
      </c>
      <c r="G51" s="2">
        <f>F51+E51+D51</f>
        <v>29</v>
      </c>
    </row>
    <row r="52" spans="1:7" ht="18" x14ac:dyDescent="0.25">
      <c r="A52" s="54">
        <v>47</v>
      </c>
      <c r="B52" s="14" t="s">
        <v>445</v>
      </c>
      <c r="C52" s="2"/>
      <c r="D52" s="2"/>
      <c r="E52" s="2">
        <v>12</v>
      </c>
      <c r="F52" s="2">
        <v>13</v>
      </c>
      <c r="G52" s="2">
        <f>F52+E52</f>
        <v>25</v>
      </c>
    </row>
    <row r="53" spans="1:7" ht="18" x14ac:dyDescent="0.25">
      <c r="A53" s="54">
        <v>48</v>
      </c>
      <c r="B53" s="14" t="s">
        <v>446</v>
      </c>
      <c r="C53" s="2"/>
      <c r="D53" s="2">
        <v>8</v>
      </c>
      <c r="E53" s="2">
        <v>13</v>
      </c>
      <c r="F53" s="2">
        <v>14</v>
      </c>
      <c r="G53" s="2">
        <f>F53+E53+D53</f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B1" zoomScale="115" zoomScaleNormal="115" workbookViewId="0">
      <selection activeCell="F9" sqref="F9"/>
    </sheetView>
  </sheetViews>
  <sheetFormatPr defaultRowHeight="15" x14ac:dyDescent="0.25"/>
  <cols>
    <col min="2" max="2" width="5.85546875" style="13" customWidth="1"/>
    <col min="3" max="3" width="20" customWidth="1"/>
    <col min="4" max="4" width="19.5703125" style="25" customWidth="1"/>
    <col min="5" max="5" width="18.85546875" style="25" customWidth="1"/>
    <col min="6" max="6" width="18.7109375" style="25" customWidth="1"/>
    <col min="7" max="7" width="18" style="25" customWidth="1"/>
    <col min="8" max="8" width="19.140625" style="25" customWidth="1"/>
  </cols>
  <sheetData>
    <row r="1" spans="1:8" ht="20.25" x14ac:dyDescent="0.3">
      <c r="A1" s="32"/>
      <c r="B1" s="32"/>
      <c r="C1" s="44"/>
      <c r="D1" s="31"/>
      <c r="E1" s="31" t="s">
        <v>134</v>
      </c>
      <c r="F1" s="31"/>
      <c r="G1" s="32"/>
      <c r="H1" s="32"/>
    </row>
    <row r="2" spans="1:8" ht="20.25" x14ac:dyDescent="0.3">
      <c r="A2" s="32"/>
      <c r="B2" s="32"/>
      <c r="C2" s="44"/>
      <c r="D2" s="31"/>
      <c r="E2" s="31" t="s">
        <v>135</v>
      </c>
      <c r="F2" s="31"/>
      <c r="G2" s="32"/>
      <c r="H2" s="32"/>
    </row>
    <row r="3" spans="1:8" ht="20.25" x14ac:dyDescent="0.3">
      <c r="A3" s="32"/>
      <c r="B3" s="32"/>
      <c r="C3" s="44"/>
      <c r="D3" s="31"/>
      <c r="E3" s="31" t="s">
        <v>452</v>
      </c>
      <c r="F3" s="31"/>
      <c r="G3" s="32"/>
      <c r="H3" s="32"/>
    </row>
    <row r="4" spans="1:8" x14ac:dyDescent="0.25">
      <c r="A4" s="3" t="s">
        <v>1</v>
      </c>
      <c r="B4" s="3" t="s">
        <v>1</v>
      </c>
      <c r="C4" s="36" t="s">
        <v>2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4</v>
      </c>
    </row>
    <row r="5" spans="1:8" x14ac:dyDescent="0.25">
      <c r="A5" s="5"/>
      <c r="B5" s="5"/>
      <c r="C5" s="45"/>
      <c r="D5" s="53" t="s">
        <v>493</v>
      </c>
      <c r="E5" s="53" t="s">
        <v>106</v>
      </c>
      <c r="F5" s="53" t="s">
        <v>495</v>
      </c>
      <c r="G5" s="53" t="s">
        <v>448</v>
      </c>
      <c r="H5" s="7" t="s">
        <v>6</v>
      </c>
    </row>
    <row r="6" spans="1:8" x14ac:dyDescent="0.25">
      <c r="A6" s="9"/>
      <c r="B6" s="9"/>
      <c r="C6" s="46"/>
      <c r="D6" s="11" t="s">
        <v>7</v>
      </c>
      <c r="E6" s="11" t="s">
        <v>8</v>
      </c>
      <c r="F6" s="11" t="s">
        <v>9</v>
      </c>
      <c r="G6" s="11" t="s">
        <v>10</v>
      </c>
      <c r="H6" s="12"/>
    </row>
    <row r="7" spans="1:8" ht="16.5" x14ac:dyDescent="0.25">
      <c r="A7" s="55">
        <v>1</v>
      </c>
      <c r="B7" s="55">
        <v>1</v>
      </c>
      <c r="C7" s="56" t="s">
        <v>453</v>
      </c>
      <c r="D7" s="2">
        <v>12</v>
      </c>
      <c r="E7" s="2">
        <v>18</v>
      </c>
      <c r="F7" s="2">
        <v>12</v>
      </c>
      <c r="G7" s="2">
        <v>19</v>
      </c>
      <c r="H7" s="2">
        <f>D7+E7+F7+G7</f>
        <v>61</v>
      </c>
    </row>
    <row r="8" spans="1:8" ht="16.5" x14ac:dyDescent="0.25">
      <c r="A8" s="55">
        <v>2</v>
      </c>
      <c r="B8" s="55">
        <v>2</v>
      </c>
      <c r="C8" s="56" t="s">
        <v>454</v>
      </c>
      <c r="D8" s="2">
        <v>12</v>
      </c>
      <c r="E8" s="2">
        <v>19</v>
      </c>
      <c r="F8" s="2">
        <v>13</v>
      </c>
      <c r="G8" s="2">
        <v>14</v>
      </c>
      <c r="H8" s="2">
        <f>D8+E8+F8+G8</f>
        <v>58</v>
      </c>
    </row>
    <row r="9" spans="1:8" ht="16.5" x14ac:dyDescent="0.25">
      <c r="A9" s="55">
        <v>3</v>
      </c>
      <c r="B9" s="55">
        <v>3</v>
      </c>
      <c r="C9" s="57" t="s">
        <v>455</v>
      </c>
      <c r="D9" s="2">
        <v>13</v>
      </c>
      <c r="E9" s="2">
        <v>20</v>
      </c>
      <c r="F9" s="2">
        <v>12</v>
      </c>
      <c r="G9" s="2">
        <v>20</v>
      </c>
      <c r="H9" s="2">
        <f>D9+E9+F9+G9</f>
        <v>65</v>
      </c>
    </row>
    <row r="10" spans="1:8" ht="16.5" x14ac:dyDescent="0.25">
      <c r="A10" s="55">
        <v>4</v>
      </c>
      <c r="B10" s="55">
        <v>4</v>
      </c>
      <c r="C10" s="56" t="s">
        <v>456</v>
      </c>
      <c r="D10" s="2">
        <v>7</v>
      </c>
      <c r="E10" s="2">
        <v>8</v>
      </c>
      <c r="F10" s="2">
        <v>6</v>
      </c>
      <c r="G10" s="2">
        <v>3</v>
      </c>
      <c r="H10" s="2">
        <f>G10+F10+E10+D10</f>
        <v>24</v>
      </c>
    </row>
    <row r="11" spans="1:8" ht="16.5" x14ac:dyDescent="0.25">
      <c r="A11" s="55">
        <v>6</v>
      </c>
      <c r="B11" s="55">
        <v>5</v>
      </c>
      <c r="C11" s="57" t="s">
        <v>457</v>
      </c>
      <c r="D11" s="2">
        <v>14</v>
      </c>
      <c r="E11" s="2">
        <v>19</v>
      </c>
      <c r="F11" s="2">
        <v>14</v>
      </c>
      <c r="G11" s="2">
        <v>7</v>
      </c>
      <c r="H11" s="2">
        <f>G11+F11+E11+D11</f>
        <v>54</v>
      </c>
    </row>
    <row r="12" spans="1:8" ht="16.5" x14ac:dyDescent="0.25">
      <c r="A12" s="55">
        <v>7</v>
      </c>
      <c r="B12" s="55">
        <v>6</v>
      </c>
      <c r="C12" s="57" t="s">
        <v>458</v>
      </c>
      <c r="D12" s="2">
        <v>15</v>
      </c>
      <c r="E12" s="2">
        <v>17</v>
      </c>
      <c r="F12" s="2">
        <v>16</v>
      </c>
      <c r="G12" s="2">
        <v>11</v>
      </c>
      <c r="H12" s="2">
        <f>G12+F12+E12+D12</f>
        <v>59</v>
      </c>
    </row>
    <row r="13" spans="1:8" ht="16.5" x14ac:dyDescent="0.25">
      <c r="A13" s="55">
        <v>8</v>
      </c>
      <c r="B13" s="55">
        <v>7</v>
      </c>
      <c r="C13" s="57" t="s">
        <v>459</v>
      </c>
      <c r="D13" s="2">
        <v>12</v>
      </c>
      <c r="E13" s="2">
        <v>16</v>
      </c>
      <c r="F13" s="2">
        <v>7</v>
      </c>
      <c r="G13" s="2">
        <v>18</v>
      </c>
      <c r="H13" s="2">
        <f>G13+F13+E13+D13</f>
        <v>53</v>
      </c>
    </row>
    <row r="14" spans="1:8" ht="16.5" x14ac:dyDescent="0.25">
      <c r="A14" s="55">
        <v>9</v>
      </c>
      <c r="B14" s="55">
        <v>8</v>
      </c>
      <c r="C14" s="56" t="s">
        <v>460</v>
      </c>
      <c r="D14" s="2">
        <v>12</v>
      </c>
      <c r="E14" s="2">
        <v>13</v>
      </c>
      <c r="F14" s="2">
        <v>13</v>
      </c>
      <c r="G14" s="2">
        <v>18</v>
      </c>
      <c r="H14" s="2">
        <f>G14+F14+E14+D14</f>
        <v>56</v>
      </c>
    </row>
    <row r="15" spans="1:8" ht="16.5" x14ac:dyDescent="0.25">
      <c r="A15" s="55">
        <v>10</v>
      </c>
      <c r="B15" s="55">
        <v>9</v>
      </c>
      <c r="C15" s="58" t="s">
        <v>461</v>
      </c>
      <c r="D15" s="2">
        <v>11</v>
      </c>
      <c r="E15" s="2">
        <v>15</v>
      </c>
      <c r="F15" s="2">
        <v>15</v>
      </c>
      <c r="G15" s="2">
        <v>19</v>
      </c>
      <c r="H15" s="2">
        <f>G15+F15+E15+H18+D15</f>
        <v>122</v>
      </c>
    </row>
    <row r="16" spans="1:8" ht="16.5" x14ac:dyDescent="0.25">
      <c r="A16" s="55">
        <v>11</v>
      </c>
      <c r="B16" s="55">
        <v>10</v>
      </c>
      <c r="C16" s="56" t="s">
        <v>462</v>
      </c>
      <c r="D16" s="2">
        <v>14</v>
      </c>
      <c r="E16" s="2">
        <v>13</v>
      </c>
      <c r="F16" s="2">
        <v>10</v>
      </c>
      <c r="G16" s="2">
        <v>21</v>
      </c>
      <c r="H16" s="2">
        <f t="shared" ref="H16:H21" si="0">G16+F16+E16+D16</f>
        <v>58</v>
      </c>
    </row>
    <row r="17" spans="1:8" ht="16.5" x14ac:dyDescent="0.25">
      <c r="A17" s="55">
        <v>12</v>
      </c>
      <c r="B17" s="55">
        <v>11</v>
      </c>
      <c r="C17" s="56" t="s">
        <v>463</v>
      </c>
      <c r="D17" s="2">
        <v>7</v>
      </c>
      <c r="E17" s="2">
        <v>20</v>
      </c>
      <c r="F17" s="2">
        <v>13</v>
      </c>
      <c r="G17" s="2">
        <v>20</v>
      </c>
      <c r="H17" s="2">
        <f t="shared" si="0"/>
        <v>60</v>
      </c>
    </row>
    <row r="18" spans="1:8" ht="16.5" x14ac:dyDescent="0.25">
      <c r="A18" s="55">
        <v>13</v>
      </c>
      <c r="B18" s="55">
        <v>12</v>
      </c>
      <c r="C18" s="57" t="s">
        <v>464</v>
      </c>
      <c r="D18" s="2">
        <v>14</v>
      </c>
      <c r="E18" s="2">
        <v>18</v>
      </c>
      <c r="F18" s="2">
        <v>12</v>
      </c>
      <c r="G18" s="2">
        <v>18</v>
      </c>
      <c r="H18" s="2">
        <f t="shared" si="0"/>
        <v>62</v>
      </c>
    </row>
    <row r="19" spans="1:8" ht="16.5" x14ac:dyDescent="0.25">
      <c r="A19" s="55">
        <v>14</v>
      </c>
      <c r="B19" s="55">
        <v>13</v>
      </c>
      <c r="C19" s="56" t="s">
        <v>465</v>
      </c>
      <c r="D19" s="2">
        <v>7</v>
      </c>
      <c r="E19" s="2">
        <v>10</v>
      </c>
      <c r="F19" s="2">
        <v>7</v>
      </c>
      <c r="G19" s="2">
        <v>13</v>
      </c>
      <c r="H19" s="2">
        <f t="shared" si="0"/>
        <v>37</v>
      </c>
    </row>
    <row r="20" spans="1:8" ht="16.5" x14ac:dyDescent="0.25">
      <c r="A20" s="55">
        <v>15</v>
      </c>
      <c r="B20" s="55">
        <v>14</v>
      </c>
      <c r="C20" s="57" t="s">
        <v>466</v>
      </c>
      <c r="D20" s="2">
        <v>14</v>
      </c>
      <c r="E20" s="2">
        <v>13</v>
      </c>
      <c r="F20" s="2">
        <v>9</v>
      </c>
      <c r="G20" s="2">
        <v>15</v>
      </c>
      <c r="H20" s="2">
        <f t="shared" si="0"/>
        <v>51</v>
      </c>
    </row>
    <row r="21" spans="1:8" ht="16.5" x14ac:dyDescent="0.25">
      <c r="A21" s="55">
        <v>16</v>
      </c>
      <c r="B21" s="55">
        <v>15</v>
      </c>
      <c r="C21" s="57" t="s">
        <v>467</v>
      </c>
      <c r="D21" s="2">
        <v>13</v>
      </c>
      <c r="E21" s="2">
        <v>20</v>
      </c>
      <c r="F21" s="2">
        <v>11</v>
      </c>
      <c r="G21" s="2">
        <v>18</v>
      </c>
      <c r="H21" s="2">
        <f t="shared" si="0"/>
        <v>62</v>
      </c>
    </row>
    <row r="22" spans="1:8" ht="16.5" x14ac:dyDescent="0.25">
      <c r="A22" s="55">
        <v>17</v>
      </c>
      <c r="B22" s="55">
        <v>16</v>
      </c>
      <c r="C22" s="57" t="s">
        <v>468</v>
      </c>
      <c r="D22" s="2">
        <v>12</v>
      </c>
      <c r="E22" s="2">
        <v>18</v>
      </c>
      <c r="F22" s="2">
        <v>12</v>
      </c>
      <c r="G22" s="2">
        <v>15</v>
      </c>
      <c r="H22" s="2">
        <f>G22+F22+D22+E22</f>
        <v>57</v>
      </c>
    </row>
    <row r="23" spans="1:8" ht="16.5" x14ac:dyDescent="0.25">
      <c r="A23" s="55">
        <v>18</v>
      </c>
      <c r="B23" s="55">
        <v>17</v>
      </c>
      <c r="C23" s="57" t="s">
        <v>469</v>
      </c>
      <c r="D23" s="2">
        <v>15</v>
      </c>
      <c r="E23" s="2">
        <v>19</v>
      </c>
      <c r="F23" s="2">
        <v>6</v>
      </c>
      <c r="G23" s="2">
        <v>15</v>
      </c>
      <c r="H23" s="2">
        <f>G23+F23+D23+E23</f>
        <v>55</v>
      </c>
    </row>
    <row r="24" spans="1:8" ht="16.5" x14ac:dyDescent="0.25">
      <c r="A24" s="55">
        <v>19</v>
      </c>
      <c r="B24" s="55">
        <v>18</v>
      </c>
      <c r="C24" s="56" t="s">
        <v>470</v>
      </c>
      <c r="D24" s="2">
        <v>12</v>
      </c>
      <c r="E24" s="2">
        <v>20</v>
      </c>
      <c r="F24" s="2">
        <v>15</v>
      </c>
      <c r="G24" s="2">
        <v>16</v>
      </c>
      <c r="H24" s="2">
        <f t="shared" ref="H24:H47" si="1">G24+F24+E24+D24</f>
        <v>63</v>
      </c>
    </row>
    <row r="25" spans="1:8" ht="16.5" x14ac:dyDescent="0.25">
      <c r="A25" s="55">
        <v>20</v>
      </c>
      <c r="B25" s="55">
        <v>19</v>
      </c>
      <c r="C25" s="57" t="s">
        <v>471</v>
      </c>
      <c r="D25" s="2">
        <v>8</v>
      </c>
      <c r="E25" s="2">
        <v>17</v>
      </c>
      <c r="F25" s="2">
        <v>9</v>
      </c>
      <c r="G25" s="2">
        <v>13</v>
      </c>
      <c r="H25" s="2">
        <f t="shared" si="1"/>
        <v>47</v>
      </c>
    </row>
    <row r="26" spans="1:8" ht="16.5" x14ac:dyDescent="0.25">
      <c r="A26" s="55">
        <v>21</v>
      </c>
      <c r="B26" s="55">
        <v>20</v>
      </c>
      <c r="C26" s="57" t="s">
        <v>472</v>
      </c>
      <c r="D26" s="2">
        <v>14</v>
      </c>
      <c r="E26" s="2">
        <v>18</v>
      </c>
      <c r="F26" s="2">
        <v>8</v>
      </c>
      <c r="G26" s="2">
        <v>18</v>
      </c>
      <c r="H26" s="2">
        <f t="shared" si="1"/>
        <v>58</v>
      </c>
    </row>
    <row r="27" spans="1:8" ht="16.5" x14ac:dyDescent="0.25">
      <c r="A27" s="55">
        <v>22</v>
      </c>
      <c r="B27" s="55">
        <v>21</v>
      </c>
      <c r="C27" s="57" t="s">
        <v>473</v>
      </c>
      <c r="D27" s="2">
        <v>13</v>
      </c>
      <c r="E27" s="2">
        <v>19</v>
      </c>
      <c r="F27" s="2">
        <v>6</v>
      </c>
      <c r="G27" s="2">
        <v>17</v>
      </c>
      <c r="H27" s="2">
        <f t="shared" si="1"/>
        <v>55</v>
      </c>
    </row>
    <row r="28" spans="1:8" ht="16.5" x14ac:dyDescent="0.25">
      <c r="A28" s="55">
        <v>23</v>
      </c>
      <c r="B28" s="55">
        <v>22</v>
      </c>
      <c r="C28" s="57" t="s">
        <v>474</v>
      </c>
      <c r="D28" s="2">
        <v>12</v>
      </c>
      <c r="E28" s="2">
        <v>14</v>
      </c>
      <c r="F28" s="2">
        <v>10</v>
      </c>
      <c r="G28" s="2">
        <v>19</v>
      </c>
      <c r="H28" s="2">
        <f t="shared" si="1"/>
        <v>55</v>
      </c>
    </row>
    <row r="29" spans="1:8" ht="16.5" x14ac:dyDescent="0.25">
      <c r="A29" s="55">
        <v>24</v>
      </c>
      <c r="B29" s="55">
        <v>23</v>
      </c>
      <c r="C29" s="57" t="s">
        <v>475</v>
      </c>
      <c r="D29" s="2">
        <v>5</v>
      </c>
      <c r="E29" s="2">
        <v>15</v>
      </c>
      <c r="F29" s="2">
        <v>5</v>
      </c>
      <c r="G29" s="2">
        <v>10</v>
      </c>
      <c r="H29" s="2">
        <f t="shared" si="1"/>
        <v>35</v>
      </c>
    </row>
    <row r="30" spans="1:8" ht="16.5" x14ac:dyDescent="0.25">
      <c r="A30" s="55">
        <v>25</v>
      </c>
      <c r="B30" s="55">
        <v>24</v>
      </c>
      <c r="C30" s="57" t="s">
        <v>476</v>
      </c>
      <c r="D30" s="2">
        <v>11</v>
      </c>
      <c r="E30" s="2">
        <v>19</v>
      </c>
      <c r="F30" s="2">
        <v>8</v>
      </c>
      <c r="G30" s="2">
        <v>10</v>
      </c>
      <c r="H30" s="2">
        <f t="shared" si="1"/>
        <v>48</v>
      </c>
    </row>
    <row r="31" spans="1:8" ht="16.5" x14ac:dyDescent="0.25">
      <c r="A31" s="55">
        <v>26</v>
      </c>
      <c r="B31" s="55">
        <v>25</v>
      </c>
      <c r="C31" s="57" t="s">
        <v>477</v>
      </c>
      <c r="D31" s="2">
        <v>14</v>
      </c>
      <c r="E31" s="2">
        <v>21</v>
      </c>
      <c r="F31" s="2">
        <v>14</v>
      </c>
      <c r="G31" s="2">
        <v>21</v>
      </c>
      <c r="H31" s="2">
        <f t="shared" si="1"/>
        <v>70</v>
      </c>
    </row>
    <row r="32" spans="1:8" ht="16.5" x14ac:dyDescent="0.25">
      <c r="A32" s="55">
        <v>27</v>
      </c>
      <c r="B32" s="55">
        <v>26</v>
      </c>
      <c r="C32" s="57" t="s">
        <v>478</v>
      </c>
      <c r="D32" s="2">
        <v>12</v>
      </c>
      <c r="E32" s="2">
        <v>18</v>
      </c>
      <c r="F32" s="2">
        <v>12</v>
      </c>
      <c r="G32" s="2">
        <v>16</v>
      </c>
      <c r="H32" s="2">
        <f t="shared" si="1"/>
        <v>58</v>
      </c>
    </row>
    <row r="33" spans="1:8" ht="16.5" x14ac:dyDescent="0.25">
      <c r="A33" s="55">
        <v>30</v>
      </c>
      <c r="B33" s="55">
        <v>27</v>
      </c>
      <c r="C33" s="57" t="s">
        <v>479</v>
      </c>
      <c r="D33" s="2">
        <v>14</v>
      </c>
      <c r="E33" s="2">
        <v>18</v>
      </c>
      <c r="F33" s="2">
        <v>12</v>
      </c>
      <c r="G33" s="2">
        <v>14</v>
      </c>
      <c r="H33" s="2">
        <f t="shared" si="1"/>
        <v>58</v>
      </c>
    </row>
    <row r="34" spans="1:8" ht="16.5" x14ac:dyDescent="0.25">
      <c r="A34" s="55">
        <v>31</v>
      </c>
      <c r="B34" s="55">
        <v>28</v>
      </c>
      <c r="C34" s="57" t="s">
        <v>480</v>
      </c>
      <c r="D34" s="2">
        <v>10</v>
      </c>
      <c r="E34" s="2">
        <v>20</v>
      </c>
      <c r="F34" s="2">
        <v>2</v>
      </c>
      <c r="G34" s="2">
        <v>5</v>
      </c>
      <c r="H34" s="2">
        <f t="shared" si="1"/>
        <v>37</v>
      </c>
    </row>
    <row r="35" spans="1:8" ht="16.5" x14ac:dyDescent="0.25">
      <c r="A35" s="55">
        <v>32</v>
      </c>
      <c r="B35" s="55">
        <v>29</v>
      </c>
      <c r="C35" s="56" t="s">
        <v>481</v>
      </c>
      <c r="D35" s="2">
        <v>14</v>
      </c>
      <c r="E35" s="2">
        <v>17</v>
      </c>
      <c r="F35" s="2">
        <v>12</v>
      </c>
      <c r="G35" s="2">
        <v>18</v>
      </c>
      <c r="H35" s="2">
        <f t="shared" si="1"/>
        <v>61</v>
      </c>
    </row>
    <row r="36" spans="1:8" ht="16.5" x14ac:dyDescent="0.25">
      <c r="A36" s="55">
        <v>33</v>
      </c>
      <c r="B36" s="55">
        <v>30</v>
      </c>
      <c r="C36" s="56" t="s">
        <v>482</v>
      </c>
      <c r="D36" s="2">
        <v>10</v>
      </c>
      <c r="E36" s="2">
        <v>16</v>
      </c>
      <c r="F36" s="2">
        <v>4</v>
      </c>
      <c r="G36" s="2">
        <v>17</v>
      </c>
      <c r="H36" s="2">
        <f t="shared" si="1"/>
        <v>47</v>
      </c>
    </row>
    <row r="37" spans="1:8" ht="16.5" x14ac:dyDescent="0.25">
      <c r="A37" s="55">
        <v>34</v>
      </c>
      <c r="B37" s="55">
        <v>31</v>
      </c>
      <c r="C37" s="56" t="s">
        <v>483</v>
      </c>
      <c r="D37" s="2">
        <v>14</v>
      </c>
      <c r="E37" s="2">
        <v>21</v>
      </c>
      <c r="F37" s="2">
        <v>13</v>
      </c>
      <c r="G37" s="2">
        <v>17</v>
      </c>
      <c r="H37" s="2">
        <f t="shared" si="1"/>
        <v>65</v>
      </c>
    </row>
    <row r="38" spans="1:8" s="13" customFormat="1" ht="16.5" x14ac:dyDescent="0.25">
      <c r="A38" s="55"/>
      <c r="B38" s="55">
        <v>32</v>
      </c>
      <c r="C38" s="56" t="s">
        <v>494</v>
      </c>
      <c r="D38" s="2"/>
      <c r="E38" s="2">
        <v>18</v>
      </c>
      <c r="F38" s="2">
        <v>12</v>
      </c>
      <c r="G38" s="2">
        <v>15</v>
      </c>
      <c r="H38" s="2">
        <f t="shared" si="1"/>
        <v>45</v>
      </c>
    </row>
    <row r="39" spans="1:8" ht="16.5" x14ac:dyDescent="0.25">
      <c r="A39" s="55">
        <v>37</v>
      </c>
      <c r="B39" s="55">
        <v>33</v>
      </c>
      <c r="C39" s="57" t="s">
        <v>484</v>
      </c>
      <c r="D39" s="2">
        <v>13</v>
      </c>
      <c r="E39" s="2">
        <v>20</v>
      </c>
      <c r="F39" s="2">
        <v>15</v>
      </c>
      <c r="G39" s="2">
        <v>16</v>
      </c>
      <c r="H39" s="2">
        <f t="shared" si="1"/>
        <v>64</v>
      </c>
    </row>
    <row r="40" spans="1:8" ht="16.5" x14ac:dyDescent="0.25">
      <c r="A40" s="55">
        <v>38</v>
      </c>
      <c r="B40" s="55">
        <v>34</v>
      </c>
      <c r="C40" s="57" t="s">
        <v>485</v>
      </c>
      <c r="D40" s="2">
        <v>10</v>
      </c>
      <c r="E40" s="2">
        <v>18</v>
      </c>
      <c r="F40" s="2">
        <v>12</v>
      </c>
      <c r="G40" s="2">
        <v>18</v>
      </c>
      <c r="H40" s="2">
        <f t="shared" si="1"/>
        <v>58</v>
      </c>
    </row>
    <row r="41" spans="1:8" ht="16.5" x14ac:dyDescent="0.25">
      <c r="A41" s="55">
        <v>39</v>
      </c>
      <c r="B41" s="55">
        <v>35</v>
      </c>
      <c r="C41" s="56" t="s">
        <v>486</v>
      </c>
      <c r="D41" s="2">
        <v>14</v>
      </c>
      <c r="E41" s="2">
        <v>20</v>
      </c>
      <c r="F41" s="2">
        <v>12</v>
      </c>
      <c r="G41" s="2">
        <v>15</v>
      </c>
      <c r="H41" s="2">
        <f t="shared" si="1"/>
        <v>61</v>
      </c>
    </row>
    <row r="42" spans="1:8" ht="16.5" x14ac:dyDescent="0.25">
      <c r="A42" s="55">
        <v>40</v>
      </c>
      <c r="B42" s="55">
        <v>36</v>
      </c>
      <c r="C42" s="57" t="s">
        <v>487</v>
      </c>
      <c r="D42" s="2">
        <v>13</v>
      </c>
      <c r="E42" s="2">
        <v>18</v>
      </c>
      <c r="F42" s="2">
        <v>13</v>
      </c>
      <c r="G42" s="2">
        <v>8</v>
      </c>
      <c r="H42" s="2">
        <f t="shared" si="1"/>
        <v>52</v>
      </c>
    </row>
    <row r="43" spans="1:8" ht="16.5" x14ac:dyDescent="0.25">
      <c r="A43" s="55">
        <v>42</v>
      </c>
      <c r="B43" s="55">
        <v>37</v>
      </c>
      <c r="C43" s="57" t="s">
        <v>488</v>
      </c>
      <c r="D43" s="2">
        <v>14</v>
      </c>
      <c r="E43" s="2">
        <v>16</v>
      </c>
      <c r="F43" s="2">
        <v>14</v>
      </c>
      <c r="G43" s="2">
        <v>10</v>
      </c>
      <c r="H43" s="2">
        <f t="shared" si="1"/>
        <v>54</v>
      </c>
    </row>
    <row r="44" spans="1:8" ht="16.5" x14ac:dyDescent="0.25">
      <c r="A44" s="55">
        <v>43</v>
      </c>
      <c r="B44" s="55">
        <v>38</v>
      </c>
      <c r="C44" s="56" t="s">
        <v>489</v>
      </c>
      <c r="D44" s="2">
        <v>10</v>
      </c>
      <c r="E44" s="2">
        <v>18</v>
      </c>
      <c r="F44" s="2">
        <v>11</v>
      </c>
      <c r="G44" s="2">
        <v>17</v>
      </c>
      <c r="H44" s="2">
        <f t="shared" si="1"/>
        <v>56</v>
      </c>
    </row>
    <row r="45" spans="1:8" ht="16.5" x14ac:dyDescent="0.25">
      <c r="A45" s="55">
        <v>44</v>
      </c>
      <c r="B45" s="55">
        <v>39</v>
      </c>
      <c r="C45" s="56" t="s">
        <v>490</v>
      </c>
      <c r="D45" s="2">
        <v>13</v>
      </c>
      <c r="E45" s="2">
        <v>10</v>
      </c>
      <c r="F45" s="2">
        <v>9</v>
      </c>
      <c r="G45" s="2">
        <v>4</v>
      </c>
      <c r="H45" s="2">
        <f t="shared" si="1"/>
        <v>36</v>
      </c>
    </row>
    <row r="46" spans="1:8" ht="16.5" x14ac:dyDescent="0.25">
      <c r="A46" s="55">
        <v>45</v>
      </c>
      <c r="B46" s="55">
        <v>40</v>
      </c>
      <c r="C46" s="57" t="s">
        <v>491</v>
      </c>
      <c r="D46" s="2">
        <v>12</v>
      </c>
      <c r="E46" s="2">
        <v>18</v>
      </c>
      <c r="F46" s="2">
        <v>9</v>
      </c>
      <c r="G46" s="2">
        <v>13</v>
      </c>
      <c r="H46" s="2">
        <f t="shared" si="1"/>
        <v>52</v>
      </c>
    </row>
    <row r="47" spans="1:8" ht="16.5" x14ac:dyDescent="0.25">
      <c r="A47" s="55">
        <v>47</v>
      </c>
      <c r="B47" s="55">
        <v>41</v>
      </c>
      <c r="C47" s="59" t="s">
        <v>492</v>
      </c>
      <c r="D47" s="2">
        <v>10</v>
      </c>
      <c r="E47" s="2">
        <v>15</v>
      </c>
      <c r="F47" s="2">
        <v>4</v>
      </c>
      <c r="G47" s="2">
        <v>8</v>
      </c>
      <c r="H47" s="2">
        <f t="shared" si="1"/>
        <v>37</v>
      </c>
    </row>
    <row r="48" spans="1:8" x14ac:dyDescent="0.25">
      <c r="B48"/>
      <c r="C48" s="25"/>
      <c r="F4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13" workbookViewId="0">
      <selection activeCell="G5" sqref="G5"/>
    </sheetView>
  </sheetViews>
  <sheetFormatPr defaultRowHeight="15" x14ac:dyDescent="0.25"/>
  <cols>
    <col min="1" max="1" width="7.28515625" customWidth="1"/>
    <col min="2" max="2" width="32" customWidth="1"/>
    <col min="3" max="3" width="21" style="25" customWidth="1"/>
    <col min="4" max="4" width="18.7109375" style="25" customWidth="1"/>
    <col min="5" max="5" width="20.28515625" style="25" customWidth="1"/>
    <col min="6" max="6" width="19.85546875" style="25" customWidth="1"/>
    <col min="7" max="7" width="18.5703125" style="25" customWidth="1"/>
  </cols>
  <sheetData>
    <row r="1" spans="1:7" ht="20.25" x14ac:dyDescent="0.3">
      <c r="A1" s="32"/>
      <c r="B1" s="44"/>
      <c r="C1" s="31"/>
      <c r="D1" s="31" t="s">
        <v>134</v>
      </c>
      <c r="E1" s="31"/>
      <c r="F1" s="32"/>
      <c r="G1" s="32"/>
    </row>
    <row r="2" spans="1:7" ht="20.25" x14ac:dyDescent="0.3">
      <c r="A2" s="32"/>
      <c r="B2" s="44"/>
      <c r="C2" s="31"/>
      <c r="D2" s="31" t="s">
        <v>135</v>
      </c>
      <c r="E2" s="31"/>
      <c r="F2" s="32"/>
      <c r="G2" s="32"/>
    </row>
    <row r="3" spans="1:7" ht="20.25" x14ac:dyDescent="0.3">
      <c r="A3" s="32"/>
      <c r="B3" s="44"/>
      <c r="C3" s="31"/>
      <c r="D3" s="31" t="s">
        <v>521</v>
      </c>
      <c r="E3" s="31"/>
      <c r="F3" s="32"/>
      <c r="G3" s="32"/>
    </row>
    <row r="4" spans="1:7" x14ac:dyDescent="0.25">
      <c r="A4" s="3" t="s">
        <v>1</v>
      </c>
      <c r="B4" s="36" t="s">
        <v>2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4</v>
      </c>
    </row>
    <row r="5" spans="1:7" x14ac:dyDescent="0.25">
      <c r="A5" s="5"/>
      <c r="B5" s="45"/>
      <c r="C5" s="53" t="s">
        <v>5</v>
      </c>
      <c r="D5" s="53" t="s">
        <v>520</v>
      </c>
      <c r="E5" s="53" t="s">
        <v>495</v>
      </c>
      <c r="F5" s="53" t="s">
        <v>448</v>
      </c>
      <c r="G5" s="7" t="s">
        <v>602</v>
      </c>
    </row>
    <row r="6" spans="1:7" x14ac:dyDescent="0.25">
      <c r="A6" s="9"/>
      <c r="B6" s="46"/>
      <c r="C6" s="11" t="s">
        <v>7</v>
      </c>
      <c r="D6" s="11" t="s">
        <v>8</v>
      </c>
      <c r="E6" s="11" t="s">
        <v>9</v>
      </c>
      <c r="F6" s="11" t="s">
        <v>10</v>
      </c>
      <c r="G6" s="12"/>
    </row>
    <row r="7" spans="1:7" ht="17.25" x14ac:dyDescent="0.3">
      <c r="A7" s="60">
        <v>1</v>
      </c>
      <c r="B7" s="42" t="s">
        <v>496</v>
      </c>
      <c r="C7" s="2">
        <v>14</v>
      </c>
      <c r="D7" s="2">
        <v>13</v>
      </c>
      <c r="E7" s="2">
        <v>11</v>
      </c>
      <c r="F7" s="2">
        <v>16</v>
      </c>
      <c r="G7" s="2">
        <f>C7+D7+E7+F7</f>
        <v>54</v>
      </c>
    </row>
    <row r="8" spans="1:7" ht="17.25" x14ac:dyDescent="0.3">
      <c r="A8" s="60">
        <v>2</v>
      </c>
      <c r="B8" s="42" t="s">
        <v>497</v>
      </c>
      <c r="C8" s="2">
        <v>13</v>
      </c>
      <c r="D8" s="2">
        <v>12</v>
      </c>
      <c r="E8" s="2">
        <v>12</v>
      </c>
      <c r="F8" s="2">
        <v>13</v>
      </c>
      <c r="G8" s="2">
        <f>C8+D8+E8+F8</f>
        <v>50</v>
      </c>
    </row>
    <row r="9" spans="1:7" ht="17.25" x14ac:dyDescent="0.3">
      <c r="A9" s="60">
        <v>3</v>
      </c>
      <c r="B9" s="42" t="s">
        <v>498</v>
      </c>
      <c r="C9" s="2">
        <v>11</v>
      </c>
      <c r="D9" s="2">
        <v>13</v>
      </c>
      <c r="E9" s="2">
        <v>11</v>
      </c>
      <c r="F9" s="2">
        <v>16</v>
      </c>
      <c r="G9" s="2">
        <f>F9+E9+D9+C9</f>
        <v>51</v>
      </c>
    </row>
    <row r="10" spans="1:7" ht="17.25" x14ac:dyDescent="0.3">
      <c r="A10" s="60">
        <v>4</v>
      </c>
      <c r="B10" s="14" t="s">
        <v>499</v>
      </c>
      <c r="C10" s="2">
        <v>12</v>
      </c>
      <c r="D10" s="2">
        <v>14</v>
      </c>
      <c r="E10" s="2">
        <v>14</v>
      </c>
      <c r="F10" s="2">
        <v>17</v>
      </c>
      <c r="G10" s="2">
        <f>F10+E10+D10+C10</f>
        <v>57</v>
      </c>
    </row>
    <row r="11" spans="1:7" ht="17.25" x14ac:dyDescent="0.3">
      <c r="A11" s="60">
        <v>5</v>
      </c>
      <c r="B11" s="42" t="s">
        <v>500</v>
      </c>
      <c r="C11" s="2">
        <v>14</v>
      </c>
      <c r="D11" s="2">
        <v>13</v>
      </c>
      <c r="E11" s="2">
        <v>13</v>
      </c>
      <c r="F11" s="2">
        <v>16</v>
      </c>
      <c r="G11" s="2">
        <f>F11+E11+D11+C11</f>
        <v>56</v>
      </c>
    </row>
    <row r="12" spans="1:7" ht="17.25" x14ac:dyDescent="0.3">
      <c r="A12" s="60">
        <v>6</v>
      </c>
      <c r="B12" s="38" t="s">
        <v>501</v>
      </c>
      <c r="C12" s="2">
        <v>10</v>
      </c>
      <c r="D12" s="2">
        <v>2</v>
      </c>
      <c r="E12" s="2">
        <v>5</v>
      </c>
      <c r="F12" s="2">
        <v>1</v>
      </c>
      <c r="G12" s="2">
        <f>C12+D12+E12+F12</f>
        <v>18</v>
      </c>
    </row>
    <row r="13" spans="1:7" ht="17.25" x14ac:dyDescent="0.3">
      <c r="A13" s="60">
        <v>7</v>
      </c>
      <c r="B13" s="42" t="s">
        <v>502</v>
      </c>
      <c r="C13" s="2">
        <v>12</v>
      </c>
      <c r="D13" s="2">
        <v>9</v>
      </c>
      <c r="E13" s="2">
        <v>7</v>
      </c>
      <c r="F13" s="2">
        <v>10</v>
      </c>
      <c r="G13" s="2">
        <f t="shared" ref="G13:G30" si="0">F13+E13+D13+C13</f>
        <v>38</v>
      </c>
    </row>
    <row r="14" spans="1:7" ht="17.25" x14ac:dyDescent="0.3">
      <c r="A14" s="60">
        <v>8</v>
      </c>
      <c r="B14" s="42" t="s">
        <v>503</v>
      </c>
      <c r="C14" s="2">
        <v>12</v>
      </c>
      <c r="D14" s="2">
        <v>11</v>
      </c>
      <c r="E14" s="2">
        <v>13</v>
      </c>
      <c r="F14" s="2">
        <v>16</v>
      </c>
      <c r="G14" s="2">
        <f t="shared" si="0"/>
        <v>52</v>
      </c>
    </row>
    <row r="15" spans="1:7" ht="17.25" x14ac:dyDescent="0.3">
      <c r="A15" s="60">
        <v>9</v>
      </c>
      <c r="B15" s="42" t="s">
        <v>504</v>
      </c>
      <c r="C15" s="2">
        <v>11</v>
      </c>
      <c r="D15" s="2">
        <v>8</v>
      </c>
      <c r="E15" s="2">
        <v>9</v>
      </c>
      <c r="F15" s="2">
        <v>12</v>
      </c>
      <c r="G15" s="2">
        <f t="shared" si="0"/>
        <v>40</v>
      </c>
    </row>
    <row r="16" spans="1:7" ht="17.25" x14ac:dyDescent="0.3">
      <c r="A16" s="60">
        <v>10</v>
      </c>
      <c r="B16" s="42" t="s">
        <v>505</v>
      </c>
      <c r="C16" s="2">
        <v>9</v>
      </c>
      <c r="D16" s="2">
        <v>11</v>
      </c>
      <c r="E16" s="2">
        <v>11</v>
      </c>
      <c r="F16" s="2">
        <v>12</v>
      </c>
      <c r="G16" s="2">
        <f t="shared" si="0"/>
        <v>43</v>
      </c>
    </row>
    <row r="17" spans="1:7" ht="17.25" x14ac:dyDescent="0.3">
      <c r="A17" s="60">
        <v>11</v>
      </c>
      <c r="B17" s="15" t="s">
        <v>506</v>
      </c>
      <c r="C17" s="2">
        <v>11</v>
      </c>
      <c r="D17" s="2">
        <v>5</v>
      </c>
      <c r="E17" s="2">
        <v>5</v>
      </c>
      <c r="F17" s="2">
        <v>13</v>
      </c>
      <c r="G17" s="2">
        <f t="shared" si="0"/>
        <v>34</v>
      </c>
    </row>
    <row r="18" spans="1:7" ht="17.25" x14ac:dyDescent="0.3">
      <c r="A18" s="60">
        <v>12</v>
      </c>
      <c r="B18" s="15" t="s">
        <v>507</v>
      </c>
      <c r="C18" s="2">
        <v>11</v>
      </c>
      <c r="D18" s="2">
        <v>10</v>
      </c>
      <c r="E18" s="2">
        <v>11</v>
      </c>
      <c r="F18" s="2">
        <v>17</v>
      </c>
      <c r="G18" s="2">
        <f t="shared" si="0"/>
        <v>49</v>
      </c>
    </row>
    <row r="19" spans="1:7" ht="17.25" x14ac:dyDescent="0.3">
      <c r="A19" s="60">
        <v>13</v>
      </c>
      <c r="B19" s="15" t="s">
        <v>508</v>
      </c>
      <c r="C19" s="2">
        <v>7</v>
      </c>
      <c r="D19" s="2">
        <v>7</v>
      </c>
      <c r="E19" s="2">
        <v>5</v>
      </c>
      <c r="F19" s="2">
        <v>9</v>
      </c>
      <c r="G19" s="2">
        <f t="shared" si="0"/>
        <v>28</v>
      </c>
    </row>
    <row r="20" spans="1:7" ht="17.25" x14ac:dyDescent="0.3">
      <c r="A20" s="60">
        <v>14</v>
      </c>
      <c r="B20" s="42" t="s">
        <v>509</v>
      </c>
      <c r="C20" s="2">
        <v>13</v>
      </c>
      <c r="D20" s="2">
        <v>11</v>
      </c>
      <c r="E20" s="2">
        <v>14</v>
      </c>
      <c r="F20" s="2">
        <v>16</v>
      </c>
      <c r="G20" s="2">
        <f t="shared" si="0"/>
        <v>54</v>
      </c>
    </row>
    <row r="21" spans="1:7" ht="17.25" x14ac:dyDescent="0.3">
      <c r="A21" s="60">
        <v>15</v>
      </c>
      <c r="B21" s="42" t="s">
        <v>510</v>
      </c>
      <c r="C21" s="2">
        <v>12</v>
      </c>
      <c r="D21" s="2">
        <v>11</v>
      </c>
      <c r="E21" s="2">
        <v>14</v>
      </c>
      <c r="F21" s="2">
        <v>15</v>
      </c>
      <c r="G21" s="2">
        <f t="shared" si="0"/>
        <v>52</v>
      </c>
    </row>
    <row r="22" spans="1:7" ht="17.25" x14ac:dyDescent="0.3">
      <c r="A22" s="60">
        <v>16</v>
      </c>
      <c r="B22" s="15" t="s">
        <v>511</v>
      </c>
      <c r="C22" s="2">
        <v>5</v>
      </c>
      <c r="D22" s="2">
        <v>9</v>
      </c>
      <c r="E22" s="2">
        <v>7</v>
      </c>
      <c r="F22" s="2">
        <v>10</v>
      </c>
      <c r="G22" s="2">
        <f t="shared" si="0"/>
        <v>31</v>
      </c>
    </row>
    <row r="23" spans="1:7" ht="17.25" x14ac:dyDescent="0.3">
      <c r="A23" s="60">
        <v>17</v>
      </c>
      <c r="B23" s="15" t="s">
        <v>512</v>
      </c>
      <c r="C23" s="2">
        <v>10</v>
      </c>
      <c r="D23" s="2">
        <v>11</v>
      </c>
      <c r="E23" s="2">
        <v>8</v>
      </c>
      <c r="F23" s="2">
        <v>13</v>
      </c>
      <c r="G23" s="2">
        <f t="shared" si="0"/>
        <v>42</v>
      </c>
    </row>
    <row r="24" spans="1:7" ht="17.25" x14ac:dyDescent="0.3">
      <c r="A24" s="60">
        <v>18</v>
      </c>
      <c r="B24" s="42" t="s">
        <v>513</v>
      </c>
      <c r="C24" s="2">
        <v>11</v>
      </c>
      <c r="D24" s="2">
        <v>13</v>
      </c>
      <c r="E24" s="2">
        <v>17</v>
      </c>
      <c r="F24" s="2">
        <v>13</v>
      </c>
      <c r="G24" s="2">
        <f t="shared" si="0"/>
        <v>54</v>
      </c>
    </row>
    <row r="25" spans="1:7" ht="17.25" x14ac:dyDescent="0.3">
      <c r="A25" s="60">
        <v>19</v>
      </c>
      <c r="B25" s="42" t="s">
        <v>514</v>
      </c>
      <c r="C25" s="2">
        <v>13</v>
      </c>
      <c r="D25" s="2">
        <v>13</v>
      </c>
      <c r="E25" s="2">
        <v>13</v>
      </c>
      <c r="F25" s="2">
        <v>15</v>
      </c>
      <c r="G25" s="2">
        <f t="shared" si="0"/>
        <v>54</v>
      </c>
    </row>
    <row r="26" spans="1:7" ht="17.25" x14ac:dyDescent="0.3">
      <c r="A26" s="60">
        <v>20</v>
      </c>
      <c r="B26" s="42" t="s">
        <v>515</v>
      </c>
      <c r="C26" s="2">
        <v>12</v>
      </c>
      <c r="D26" s="2">
        <v>8</v>
      </c>
      <c r="E26" s="2">
        <v>11</v>
      </c>
      <c r="F26" s="2">
        <v>15</v>
      </c>
      <c r="G26" s="2">
        <f t="shared" si="0"/>
        <v>46</v>
      </c>
    </row>
    <row r="27" spans="1:7" ht="17.25" x14ac:dyDescent="0.3">
      <c r="A27" s="60">
        <v>21</v>
      </c>
      <c r="B27" s="15" t="s">
        <v>516</v>
      </c>
      <c r="C27" s="2">
        <v>14</v>
      </c>
      <c r="D27" s="2">
        <v>11</v>
      </c>
      <c r="E27" s="2">
        <v>12</v>
      </c>
      <c r="F27" s="2">
        <v>12</v>
      </c>
      <c r="G27" s="2">
        <f t="shared" si="0"/>
        <v>49</v>
      </c>
    </row>
    <row r="28" spans="1:7" ht="17.25" x14ac:dyDescent="0.3">
      <c r="A28" s="60">
        <v>22</v>
      </c>
      <c r="B28" s="61" t="s">
        <v>517</v>
      </c>
      <c r="C28" s="2">
        <v>13</v>
      </c>
      <c r="D28" s="2">
        <v>13</v>
      </c>
      <c r="E28" s="2">
        <v>13</v>
      </c>
      <c r="F28" s="2">
        <v>12</v>
      </c>
      <c r="G28" s="2">
        <f t="shared" si="0"/>
        <v>51</v>
      </c>
    </row>
    <row r="29" spans="1:7" ht="17.25" x14ac:dyDescent="0.3">
      <c r="A29" s="60">
        <v>23</v>
      </c>
      <c r="B29" s="42" t="s">
        <v>518</v>
      </c>
      <c r="C29" s="2">
        <v>14</v>
      </c>
      <c r="D29" s="2">
        <v>11</v>
      </c>
      <c r="E29" s="2">
        <v>11</v>
      </c>
      <c r="F29" s="2">
        <v>16</v>
      </c>
      <c r="G29" s="2">
        <f t="shared" si="0"/>
        <v>52</v>
      </c>
    </row>
    <row r="30" spans="1:7" ht="17.25" x14ac:dyDescent="0.3">
      <c r="A30" s="60">
        <v>24</v>
      </c>
      <c r="B30" s="15" t="s">
        <v>519</v>
      </c>
      <c r="C30" s="2">
        <v>11</v>
      </c>
      <c r="D30" s="2">
        <v>11</v>
      </c>
      <c r="E30" s="2">
        <v>8</v>
      </c>
      <c r="F30" s="2">
        <v>16</v>
      </c>
      <c r="G30" s="2">
        <f t="shared" si="0"/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opLeftCell="A19" workbookViewId="0">
      <selection activeCell="G14" sqref="G14"/>
    </sheetView>
  </sheetViews>
  <sheetFormatPr defaultRowHeight="15" x14ac:dyDescent="0.25"/>
  <cols>
    <col min="1" max="1" width="6" style="25" customWidth="1"/>
    <col min="2" max="2" width="21.28515625" customWidth="1"/>
    <col min="3" max="3" width="20.5703125" style="25" customWidth="1"/>
    <col min="4" max="4" width="19.5703125" style="25" customWidth="1"/>
    <col min="5" max="5" width="20.28515625" style="25" customWidth="1"/>
    <col min="6" max="6" width="19" customWidth="1"/>
    <col min="7" max="7" width="19.28515625" style="25" customWidth="1"/>
  </cols>
  <sheetData>
    <row r="1" spans="1:7" ht="20.25" x14ac:dyDescent="0.3">
      <c r="A1" s="32"/>
      <c r="B1" s="44"/>
      <c r="C1" s="31"/>
      <c r="D1" s="31" t="s">
        <v>134</v>
      </c>
      <c r="E1" s="31"/>
      <c r="F1" s="32"/>
      <c r="G1" s="32"/>
    </row>
    <row r="2" spans="1:7" ht="20.25" x14ac:dyDescent="0.3">
      <c r="A2" s="32"/>
      <c r="B2" s="44"/>
      <c r="C2" s="31"/>
      <c r="D2" s="31" t="s">
        <v>135</v>
      </c>
      <c r="E2" s="31"/>
      <c r="F2" s="32"/>
      <c r="G2" s="32"/>
    </row>
    <row r="3" spans="1:7" ht="20.25" x14ac:dyDescent="0.3">
      <c r="A3" s="32"/>
      <c r="B3" s="44"/>
      <c r="C3" s="31"/>
      <c r="D3" s="31" t="s">
        <v>557</v>
      </c>
      <c r="E3" s="31"/>
      <c r="F3" s="32"/>
      <c r="G3" s="32"/>
    </row>
    <row r="4" spans="1:7" x14ac:dyDescent="0.25">
      <c r="A4" s="3" t="s">
        <v>1</v>
      </c>
      <c r="B4" s="36" t="s">
        <v>2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4</v>
      </c>
    </row>
    <row r="5" spans="1:7" x14ac:dyDescent="0.25">
      <c r="A5" s="5"/>
      <c r="B5" s="45"/>
      <c r="C5" s="53" t="s">
        <v>399</v>
      </c>
      <c r="D5" s="53" t="s">
        <v>106</v>
      </c>
      <c r="E5" s="53" t="s">
        <v>495</v>
      </c>
      <c r="F5" s="53" t="s">
        <v>448</v>
      </c>
      <c r="G5" s="7" t="s">
        <v>137</v>
      </c>
    </row>
    <row r="6" spans="1:7" x14ac:dyDescent="0.25">
      <c r="A6" s="9"/>
      <c r="B6" s="46"/>
      <c r="C6" s="11" t="s">
        <v>7</v>
      </c>
      <c r="D6" s="11" t="s">
        <v>8</v>
      </c>
      <c r="E6" s="11" t="s">
        <v>9</v>
      </c>
      <c r="F6" s="11" t="s">
        <v>10</v>
      </c>
      <c r="G6" s="12"/>
    </row>
    <row r="7" spans="1:7" x14ac:dyDescent="0.25">
      <c r="A7" s="2">
        <v>1</v>
      </c>
      <c r="B7" s="17" t="s">
        <v>522</v>
      </c>
      <c r="C7" s="2">
        <v>5</v>
      </c>
      <c r="D7" s="2">
        <v>11</v>
      </c>
      <c r="E7" s="2">
        <v>9</v>
      </c>
      <c r="F7" s="2">
        <v>7</v>
      </c>
      <c r="G7" s="2">
        <f>C7+D7+E7+F7</f>
        <v>32</v>
      </c>
    </row>
    <row r="8" spans="1:7" x14ac:dyDescent="0.25">
      <c r="A8" s="2">
        <v>2</v>
      </c>
      <c r="B8" s="17" t="s">
        <v>523</v>
      </c>
      <c r="C8" s="2">
        <v>8</v>
      </c>
      <c r="D8" s="2">
        <v>15</v>
      </c>
      <c r="E8" s="2">
        <v>10</v>
      </c>
      <c r="F8" s="2">
        <v>1</v>
      </c>
      <c r="G8" s="2">
        <f>C8+D8+E8+F8</f>
        <v>34</v>
      </c>
    </row>
    <row r="9" spans="1:7" x14ac:dyDescent="0.25">
      <c r="A9" s="2">
        <v>3</v>
      </c>
      <c r="B9" s="17" t="s">
        <v>524</v>
      </c>
      <c r="C9" s="2">
        <v>3</v>
      </c>
      <c r="D9" s="2"/>
      <c r="E9" s="2"/>
      <c r="F9" s="2">
        <v>2</v>
      </c>
      <c r="G9" s="2">
        <f>F9+C9</f>
        <v>5</v>
      </c>
    </row>
    <row r="10" spans="1:7" x14ac:dyDescent="0.25">
      <c r="A10" s="2">
        <v>4</v>
      </c>
      <c r="B10" s="17" t="s">
        <v>362</v>
      </c>
      <c r="C10" s="2">
        <v>9</v>
      </c>
      <c r="D10" s="2">
        <v>11</v>
      </c>
      <c r="E10" s="2">
        <v>6</v>
      </c>
      <c r="F10" s="2">
        <v>7</v>
      </c>
      <c r="G10" s="2">
        <f>F10+E10+D10+C10</f>
        <v>33</v>
      </c>
    </row>
    <row r="11" spans="1:7" x14ac:dyDescent="0.25">
      <c r="A11" s="2">
        <v>5</v>
      </c>
      <c r="B11" s="17" t="s">
        <v>525</v>
      </c>
      <c r="C11" s="2">
        <v>8</v>
      </c>
      <c r="D11" s="2">
        <v>10</v>
      </c>
      <c r="E11" s="2">
        <v>3</v>
      </c>
      <c r="F11" s="2">
        <v>6</v>
      </c>
      <c r="G11" s="2">
        <f>F11+E11+D11+C11</f>
        <v>27</v>
      </c>
    </row>
    <row r="12" spans="1:7" x14ac:dyDescent="0.25">
      <c r="A12" s="2">
        <v>6</v>
      </c>
      <c r="B12" s="17" t="s">
        <v>556</v>
      </c>
      <c r="C12" s="2">
        <v>7</v>
      </c>
      <c r="D12" s="2">
        <v>7</v>
      </c>
      <c r="E12" s="2">
        <v>5</v>
      </c>
      <c r="F12" s="2">
        <v>11</v>
      </c>
      <c r="G12" s="2">
        <f>F12+E12+D12+C12</f>
        <v>30</v>
      </c>
    </row>
    <row r="13" spans="1:7" x14ac:dyDescent="0.25">
      <c r="A13" s="2">
        <v>7</v>
      </c>
      <c r="B13" s="17" t="s">
        <v>526</v>
      </c>
      <c r="C13" s="2">
        <v>6</v>
      </c>
      <c r="D13" s="2">
        <v>14</v>
      </c>
      <c r="E13" s="2">
        <v>8</v>
      </c>
      <c r="F13" s="2">
        <v>17</v>
      </c>
      <c r="G13" s="2">
        <f>F13+E13+D13+C13</f>
        <v>45</v>
      </c>
    </row>
    <row r="14" spans="1:7" x14ac:dyDescent="0.25">
      <c r="A14" s="2">
        <v>8</v>
      </c>
      <c r="B14" s="17" t="s">
        <v>527</v>
      </c>
      <c r="C14" s="2">
        <v>9</v>
      </c>
      <c r="D14" s="2">
        <v>11</v>
      </c>
      <c r="E14" s="2">
        <v>4</v>
      </c>
      <c r="F14" s="2">
        <v>10</v>
      </c>
      <c r="G14" s="2">
        <f>F14+E14+D14+C14</f>
        <v>34</v>
      </c>
    </row>
    <row r="15" spans="1:7" x14ac:dyDescent="0.25">
      <c r="A15" s="2">
        <v>9</v>
      </c>
      <c r="B15" s="17" t="s">
        <v>528</v>
      </c>
      <c r="C15" s="2">
        <v>5</v>
      </c>
      <c r="D15" s="2">
        <v>8</v>
      </c>
      <c r="E15" s="2">
        <v>2</v>
      </c>
      <c r="F15" s="2">
        <v>11</v>
      </c>
      <c r="G15" s="2">
        <f>C15+D15+E15+F15</f>
        <v>26</v>
      </c>
    </row>
    <row r="16" spans="1:7" x14ac:dyDescent="0.25">
      <c r="A16" s="2">
        <v>10</v>
      </c>
      <c r="B16" s="17" t="s">
        <v>529</v>
      </c>
      <c r="C16" s="2">
        <v>7</v>
      </c>
      <c r="D16" s="2">
        <v>13</v>
      </c>
      <c r="E16" s="2">
        <v>14</v>
      </c>
      <c r="F16" s="2">
        <v>18</v>
      </c>
      <c r="G16" s="2">
        <f>F16+E16+D16+C16</f>
        <v>52</v>
      </c>
    </row>
    <row r="17" spans="1:7" x14ac:dyDescent="0.25">
      <c r="A17" s="2">
        <v>11</v>
      </c>
      <c r="B17" s="17" t="s">
        <v>530</v>
      </c>
      <c r="C17" s="2">
        <v>8</v>
      </c>
      <c r="D17" s="2">
        <v>14</v>
      </c>
      <c r="E17" s="2">
        <v>9</v>
      </c>
      <c r="F17" s="2">
        <v>13</v>
      </c>
      <c r="G17" s="2">
        <f>F17+E17+D17+C17</f>
        <v>44</v>
      </c>
    </row>
    <row r="18" spans="1:7" x14ac:dyDescent="0.25">
      <c r="A18" s="2">
        <v>12</v>
      </c>
      <c r="B18" s="17" t="s">
        <v>531</v>
      </c>
      <c r="C18" s="2">
        <v>11</v>
      </c>
      <c r="D18" s="2">
        <v>18</v>
      </c>
      <c r="E18" s="2">
        <v>14</v>
      </c>
      <c r="F18" s="2">
        <v>19</v>
      </c>
      <c r="G18" s="2">
        <f>F18+E18++D18+C18</f>
        <v>62</v>
      </c>
    </row>
    <row r="19" spans="1:7" x14ac:dyDescent="0.25">
      <c r="A19" s="2">
        <v>13</v>
      </c>
      <c r="B19" s="17" t="s">
        <v>532</v>
      </c>
      <c r="C19" s="2">
        <v>12</v>
      </c>
      <c r="D19" s="2">
        <v>15</v>
      </c>
      <c r="E19" s="2">
        <v>12</v>
      </c>
      <c r="F19" s="2">
        <v>15</v>
      </c>
      <c r="G19" s="2">
        <f>F19+E19+D19+C19</f>
        <v>54</v>
      </c>
    </row>
    <row r="20" spans="1:7" x14ac:dyDescent="0.25">
      <c r="A20" s="2">
        <v>14</v>
      </c>
      <c r="B20" s="17" t="s">
        <v>533</v>
      </c>
      <c r="C20" s="2">
        <v>11</v>
      </c>
      <c r="D20" s="2">
        <v>12</v>
      </c>
      <c r="E20" s="2">
        <v>11</v>
      </c>
      <c r="F20" s="2">
        <v>4</v>
      </c>
      <c r="G20" s="2">
        <f>F20+E20+D20+C20</f>
        <v>38</v>
      </c>
    </row>
    <row r="21" spans="1:7" x14ac:dyDescent="0.25">
      <c r="A21" s="2">
        <v>15</v>
      </c>
      <c r="B21" s="17" t="s">
        <v>534</v>
      </c>
      <c r="C21" s="2">
        <v>11</v>
      </c>
      <c r="D21" s="2">
        <v>15</v>
      </c>
      <c r="E21" s="2">
        <v>9</v>
      </c>
      <c r="F21" s="2">
        <v>15</v>
      </c>
      <c r="G21" s="2">
        <f>F21+E21+D21+C21</f>
        <v>50</v>
      </c>
    </row>
    <row r="22" spans="1:7" x14ac:dyDescent="0.25">
      <c r="A22" s="2">
        <v>16</v>
      </c>
      <c r="B22" s="17" t="s">
        <v>535</v>
      </c>
      <c r="C22" s="2">
        <v>7</v>
      </c>
      <c r="D22" s="2">
        <v>9</v>
      </c>
      <c r="E22" s="2">
        <v>7</v>
      </c>
      <c r="F22" s="2">
        <v>12</v>
      </c>
      <c r="G22" s="2">
        <f>F22+E22+D22+C22</f>
        <v>35</v>
      </c>
    </row>
    <row r="23" spans="1:7" x14ac:dyDescent="0.25">
      <c r="A23" s="2">
        <v>17</v>
      </c>
      <c r="B23" s="17" t="s">
        <v>536</v>
      </c>
      <c r="C23" s="2">
        <v>6</v>
      </c>
      <c r="D23" s="2">
        <v>6</v>
      </c>
      <c r="E23" s="2">
        <v>4</v>
      </c>
      <c r="F23" s="2">
        <v>2</v>
      </c>
      <c r="G23" s="2">
        <f>F23+E23+D23+C23</f>
        <v>18</v>
      </c>
    </row>
    <row r="24" spans="1:7" x14ac:dyDescent="0.25">
      <c r="A24" s="2">
        <v>18</v>
      </c>
      <c r="B24" s="62" t="s">
        <v>537</v>
      </c>
      <c r="C24" s="2">
        <v>9</v>
      </c>
      <c r="D24" s="2">
        <v>10</v>
      </c>
      <c r="E24" s="2">
        <v>5</v>
      </c>
      <c r="F24" s="2">
        <v>5</v>
      </c>
      <c r="G24" s="2">
        <f>C24+D24+E24+F24</f>
        <v>29</v>
      </c>
    </row>
    <row r="25" spans="1:7" x14ac:dyDescent="0.25">
      <c r="A25" s="2">
        <v>19</v>
      </c>
      <c r="B25" s="17" t="s">
        <v>538</v>
      </c>
      <c r="C25" s="2">
        <v>5</v>
      </c>
      <c r="D25" s="2">
        <v>8</v>
      </c>
      <c r="E25" s="2">
        <v>5</v>
      </c>
      <c r="F25" s="2">
        <v>1</v>
      </c>
      <c r="G25" s="2">
        <f t="shared" ref="G25:G42" si="0">F25+E25+D25+C25</f>
        <v>19</v>
      </c>
    </row>
    <row r="26" spans="1:7" x14ac:dyDescent="0.25">
      <c r="A26" s="2">
        <v>20</v>
      </c>
      <c r="B26" s="17" t="s">
        <v>539</v>
      </c>
      <c r="C26" s="2">
        <v>11</v>
      </c>
      <c r="D26" s="2">
        <v>15</v>
      </c>
      <c r="E26" s="2">
        <v>5</v>
      </c>
      <c r="F26" s="2">
        <v>19</v>
      </c>
      <c r="G26" s="2">
        <f t="shared" si="0"/>
        <v>50</v>
      </c>
    </row>
    <row r="27" spans="1:7" x14ac:dyDescent="0.25">
      <c r="A27" s="2">
        <v>21</v>
      </c>
      <c r="B27" s="17" t="s">
        <v>540</v>
      </c>
      <c r="C27" s="2">
        <v>12</v>
      </c>
      <c r="D27" s="2">
        <v>13</v>
      </c>
      <c r="E27" s="2">
        <v>6</v>
      </c>
      <c r="F27" s="2">
        <v>11</v>
      </c>
      <c r="G27" s="2">
        <f t="shared" si="0"/>
        <v>42</v>
      </c>
    </row>
    <row r="28" spans="1:7" x14ac:dyDescent="0.25">
      <c r="A28" s="2">
        <v>22</v>
      </c>
      <c r="B28" s="17" t="s">
        <v>541</v>
      </c>
      <c r="C28" s="2">
        <v>11</v>
      </c>
      <c r="D28" s="2">
        <v>12</v>
      </c>
      <c r="E28" s="2">
        <v>7</v>
      </c>
      <c r="F28" s="2">
        <v>16</v>
      </c>
      <c r="G28" s="2">
        <f t="shared" si="0"/>
        <v>46</v>
      </c>
    </row>
    <row r="29" spans="1:7" x14ac:dyDescent="0.25">
      <c r="A29" s="2">
        <v>23</v>
      </c>
      <c r="B29" s="17" t="s">
        <v>542</v>
      </c>
      <c r="C29" s="2">
        <v>6</v>
      </c>
      <c r="D29" s="2">
        <v>14</v>
      </c>
      <c r="E29" s="2">
        <v>2</v>
      </c>
      <c r="F29" s="2">
        <v>13</v>
      </c>
      <c r="G29" s="2">
        <f t="shared" si="0"/>
        <v>35</v>
      </c>
    </row>
    <row r="30" spans="1:7" x14ac:dyDescent="0.25">
      <c r="A30" s="2">
        <v>24</v>
      </c>
      <c r="B30" s="62" t="s">
        <v>543</v>
      </c>
      <c r="C30" s="2">
        <v>9</v>
      </c>
      <c r="D30" s="2">
        <v>14</v>
      </c>
      <c r="E30" s="2">
        <v>8</v>
      </c>
      <c r="F30" s="2">
        <v>15</v>
      </c>
      <c r="G30" s="2">
        <f t="shared" si="0"/>
        <v>46</v>
      </c>
    </row>
    <row r="31" spans="1:7" x14ac:dyDescent="0.25">
      <c r="A31" s="2">
        <v>25</v>
      </c>
      <c r="B31" s="17" t="s">
        <v>544</v>
      </c>
      <c r="C31" s="2">
        <v>10</v>
      </c>
      <c r="D31" s="2">
        <v>17</v>
      </c>
      <c r="E31" s="2">
        <v>9</v>
      </c>
      <c r="F31" s="2">
        <v>15</v>
      </c>
      <c r="G31" s="2">
        <f t="shared" si="0"/>
        <v>51</v>
      </c>
    </row>
    <row r="32" spans="1:7" x14ac:dyDescent="0.25">
      <c r="A32" s="2">
        <v>26</v>
      </c>
      <c r="B32" s="17" t="s">
        <v>545</v>
      </c>
      <c r="C32" s="2">
        <v>12</v>
      </c>
      <c r="D32" s="2">
        <v>19</v>
      </c>
      <c r="E32" s="2">
        <v>11</v>
      </c>
      <c r="F32" s="2">
        <v>22</v>
      </c>
      <c r="G32" s="2">
        <f t="shared" si="0"/>
        <v>64</v>
      </c>
    </row>
    <row r="33" spans="1:7" x14ac:dyDescent="0.25">
      <c r="A33" s="2">
        <v>27</v>
      </c>
      <c r="B33" s="17" t="s">
        <v>546</v>
      </c>
      <c r="C33" s="2">
        <v>3</v>
      </c>
      <c r="D33" s="2">
        <v>16</v>
      </c>
      <c r="E33" s="2">
        <v>1</v>
      </c>
      <c r="F33" s="2">
        <v>9</v>
      </c>
      <c r="G33" s="2">
        <f t="shared" si="0"/>
        <v>29</v>
      </c>
    </row>
    <row r="34" spans="1:7" x14ac:dyDescent="0.25">
      <c r="A34" s="2">
        <v>28</v>
      </c>
      <c r="B34" s="17" t="s">
        <v>547</v>
      </c>
      <c r="C34" s="2">
        <v>10</v>
      </c>
      <c r="D34" s="2">
        <v>16</v>
      </c>
      <c r="E34" s="2">
        <v>13</v>
      </c>
      <c r="F34" s="2">
        <v>22</v>
      </c>
      <c r="G34" s="2">
        <f t="shared" si="0"/>
        <v>61</v>
      </c>
    </row>
    <row r="35" spans="1:7" x14ac:dyDescent="0.25">
      <c r="A35" s="2">
        <v>29</v>
      </c>
      <c r="B35" s="17" t="s">
        <v>548</v>
      </c>
      <c r="C35" s="2">
        <v>11</v>
      </c>
      <c r="D35" s="2">
        <v>14</v>
      </c>
      <c r="E35" s="2">
        <v>9</v>
      </c>
      <c r="F35" s="2">
        <v>15</v>
      </c>
      <c r="G35" s="2">
        <f t="shared" si="0"/>
        <v>49</v>
      </c>
    </row>
    <row r="36" spans="1:7" x14ac:dyDescent="0.25">
      <c r="A36" s="2">
        <v>30</v>
      </c>
      <c r="B36" s="17" t="s">
        <v>549</v>
      </c>
      <c r="C36" s="2">
        <v>13</v>
      </c>
      <c r="D36" s="2">
        <v>13</v>
      </c>
      <c r="E36" s="2">
        <v>11</v>
      </c>
      <c r="F36" s="2">
        <v>14</v>
      </c>
      <c r="G36" s="2">
        <f t="shared" si="0"/>
        <v>51</v>
      </c>
    </row>
    <row r="37" spans="1:7" x14ac:dyDescent="0.25">
      <c r="A37" s="2">
        <v>31</v>
      </c>
      <c r="B37" s="17" t="s">
        <v>550</v>
      </c>
      <c r="C37" s="2">
        <v>4</v>
      </c>
      <c r="D37" s="2">
        <v>6</v>
      </c>
      <c r="E37" s="2">
        <v>5</v>
      </c>
      <c r="F37" s="2">
        <v>8</v>
      </c>
      <c r="G37" s="2">
        <f t="shared" si="0"/>
        <v>23</v>
      </c>
    </row>
    <row r="38" spans="1:7" x14ac:dyDescent="0.25">
      <c r="A38" s="2">
        <v>32</v>
      </c>
      <c r="B38" s="17" t="s">
        <v>551</v>
      </c>
      <c r="C38" s="2">
        <v>9</v>
      </c>
      <c r="D38" s="2">
        <v>8</v>
      </c>
      <c r="E38" s="2">
        <v>7</v>
      </c>
      <c r="F38" s="2">
        <v>6</v>
      </c>
      <c r="G38" s="2">
        <f t="shared" si="0"/>
        <v>30</v>
      </c>
    </row>
    <row r="39" spans="1:7" x14ac:dyDescent="0.25">
      <c r="A39" s="2">
        <v>33</v>
      </c>
      <c r="B39" s="17" t="s">
        <v>552</v>
      </c>
      <c r="C39" s="2">
        <v>8</v>
      </c>
      <c r="D39" s="2">
        <v>12</v>
      </c>
      <c r="E39" s="2">
        <v>6</v>
      </c>
      <c r="F39" s="2">
        <v>13</v>
      </c>
      <c r="G39" s="2">
        <f t="shared" si="0"/>
        <v>39</v>
      </c>
    </row>
    <row r="40" spans="1:7" x14ac:dyDescent="0.25">
      <c r="A40" s="2">
        <v>34</v>
      </c>
      <c r="B40" s="17" t="s">
        <v>553</v>
      </c>
      <c r="C40" s="2">
        <v>11</v>
      </c>
      <c r="D40" s="2">
        <v>18</v>
      </c>
      <c r="E40" s="2">
        <v>14</v>
      </c>
      <c r="F40" s="2">
        <v>15</v>
      </c>
      <c r="G40" s="2">
        <f t="shared" si="0"/>
        <v>58</v>
      </c>
    </row>
    <row r="41" spans="1:7" x14ac:dyDescent="0.25">
      <c r="A41" s="2">
        <v>35</v>
      </c>
      <c r="B41" s="17" t="s">
        <v>554</v>
      </c>
      <c r="C41" s="2">
        <v>9</v>
      </c>
      <c r="D41" s="2">
        <v>14</v>
      </c>
      <c r="E41" s="2">
        <v>7</v>
      </c>
      <c r="F41" s="2">
        <v>19</v>
      </c>
      <c r="G41" s="2">
        <f t="shared" si="0"/>
        <v>49</v>
      </c>
    </row>
    <row r="42" spans="1:7" x14ac:dyDescent="0.25">
      <c r="A42" s="2">
        <v>36</v>
      </c>
      <c r="B42" s="17" t="s">
        <v>555</v>
      </c>
      <c r="C42" s="2">
        <v>12</v>
      </c>
      <c r="D42" s="2">
        <v>16</v>
      </c>
      <c r="E42" s="2">
        <v>13</v>
      </c>
      <c r="F42" s="2">
        <v>19</v>
      </c>
      <c r="G42" s="2">
        <f t="shared" si="0"/>
        <v>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selection activeCell="G5" sqref="G5"/>
    </sheetView>
  </sheetViews>
  <sheetFormatPr defaultRowHeight="15" x14ac:dyDescent="0.25"/>
  <cols>
    <col min="1" max="1" width="6.42578125" style="25" customWidth="1"/>
    <col min="2" max="2" width="24.28515625" customWidth="1"/>
    <col min="3" max="3" width="21" style="25" customWidth="1"/>
    <col min="4" max="4" width="19" style="25" customWidth="1"/>
    <col min="5" max="5" width="19.7109375" style="25" customWidth="1"/>
    <col min="6" max="6" width="18.85546875" style="25" customWidth="1"/>
    <col min="7" max="7" width="19.5703125" style="25" bestFit="1" customWidth="1"/>
  </cols>
  <sheetData>
    <row r="1" spans="1:7" ht="20.25" x14ac:dyDescent="0.3">
      <c r="A1" s="32"/>
      <c r="B1" s="44"/>
      <c r="C1" s="31"/>
      <c r="D1" s="31" t="s">
        <v>134</v>
      </c>
      <c r="E1" s="31"/>
      <c r="F1" s="32"/>
      <c r="G1" s="32"/>
    </row>
    <row r="2" spans="1:7" ht="20.25" x14ac:dyDescent="0.3">
      <c r="A2" s="32"/>
      <c r="B2" s="44"/>
      <c r="C2" s="31"/>
      <c r="D2" s="31" t="s">
        <v>135</v>
      </c>
      <c r="E2" s="31"/>
      <c r="F2" s="32"/>
      <c r="G2" s="32"/>
    </row>
    <row r="3" spans="1:7" ht="20.25" x14ac:dyDescent="0.3">
      <c r="A3" s="32"/>
      <c r="B3" s="44"/>
      <c r="C3" s="31"/>
      <c r="D3" s="31" t="s">
        <v>557</v>
      </c>
      <c r="E3" s="31"/>
      <c r="F3" s="32"/>
      <c r="G3" s="32"/>
    </row>
    <row r="4" spans="1:7" x14ac:dyDescent="0.25">
      <c r="A4" s="3" t="s">
        <v>1</v>
      </c>
      <c r="B4" s="36" t="s">
        <v>2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4</v>
      </c>
    </row>
    <row r="5" spans="1:7" x14ac:dyDescent="0.25">
      <c r="A5" s="5"/>
      <c r="B5" s="45"/>
      <c r="C5" s="53" t="s">
        <v>493</v>
      </c>
      <c r="D5" s="53" t="s">
        <v>600</v>
      </c>
      <c r="E5" s="53" t="s">
        <v>115</v>
      </c>
      <c r="F5" s="53" t="s">
        <v>601</v>
      </c>
      <c r="G5" s="7" t="s">
        <v>602</v>
      </c>
    </row>
    <row r="6" spans="1:7" x14ac:dyDescent="0.25">
      <c r="A6" s="23"/>
      <c r="B6" s="64"/>
      <c r="C6" s="3" t="s">
        <v>7</v>
      </c>
      <c r="D6" s="3" t="s">
        <v>8</v>
      </c>
      <c r="E6" s="3" t="s">
        <v>9</v>
      </c>
      <c r="F6" s="3" t="s">
        <v>10</v>
      </c>
      <c r="G6" s="3"/>
    </row>
    <row r="7" spans="1:7" ht="15.75" x14ac:dyDescent="0.25">
      <c r="A7" s="2">
        <v>1</v>
      </c>
      <c r="B7" s="63" t="s">
        <v>558</v>
      </c>
      <c r="C7" s="2">
        <v>8</v>
      </c>
      <c r="D7" s="2">
        <v>9</v>
      </c>
      <c r="E7" s="2">
        <v>5</v>
      </c>
      <c r="F7" s="2">
        <v>9</v>
      </c>
      <c r="G7" s="2">
        <f>C7+D7+E7+F7</f>
        <v>31</v>
      </c>
    </row>
    <row r="8" spans="1:7" ht="15.75" x14ac:dyDescent="0.25">
      <c r="A8" s="2">
        <v>2</v>
      </c>
      <c r="B8" s="63" t="s">
        <v>559</v>
      </c>
      <c r="C8" s="2">
        <v>7</v>
      </c>
      <c r="D8" s="2">
        <v>8</v>
      </c>
      <c r="E8" s="2">
        <v>6</v>
      </c>
      <c r="F8" s="2">
        <v>10</v>
      </c>
      <c r="G8" s="2">
        <f>C8+D8+E8+F8</f>
        <v>31</v>
      </c>
    </row>
    <row r="9" spans="1:7" ht="15.75" x14ac:dyDescent="0.25">
      <c r="A9" s="2">
        <v>3</v>
      </c>
      <c r="B9" s="63" t="s">
        <v>560</v>
      </c>
      <c r="C9" s="2">
        <v>7</v>
      </c>
      <c r="D9" s="2">
        <v>10</v>
      </c>
      <c r="E9" s="2">
        <v>4</v>
      </c>
      <c r="F9" s="2">
        <v>9</v>
      </c>
      <c r="G9" s="2">
        <f>C9+D9+E9+F9</f>
        <v>30</v>
      </c>
    </row>
    <row r="10" spans="1:7" ht="15.75" x14ac:dyDescent="0.25">
      <c r="A10" s="2">
        <v>4</v>
      </c>
      <c r="B10" s="63" t="s">
        <v>561</v>
      </c>
      <c r="C10" s="2">
        <v>12</v>
      </c>
      <c r="D10" s="2">
        <v>13</v>
      </c>
      <c r="E10" s="2">
        <v>9</v>
      </c>
      <c r="F10" s="2">
        <v>12</v>
      </c>
      <c r="G10" s="2">
        <f>C10+D10+E10+F10</f>
        <v>46</v>
      </c>
    </row>
    <row r="11" spans="1:7" ht="15.75" x14ac:dyDescent="0.25">
      <c r="A11" s="2">
        <v>5</v>
      </c>
      <c r="B11" s="63" t="s">
        <v>562</v>
      </c>
      <c r="C11" s="2">
        <v>2</v>
      </c>
      <c r="D11" s="2">
        <v>2</v>
      </c>
      <c r="E11" s="2">
        <v>2</v>
      </c>
      <c r="F11" s="2">
        <v>10</v>
      </c>
      <c r="G11" s="2">
        <f>F11+E11+D11+C11</f>
        <v>16</v>
      </c>
    </row>
    <row r="12" spans="1:7" ht="15.75" x14ac:dyDescent="0.25">
      <c r="A12" s="2">
        <v>6</v>
      </c>
      <c r="B12" s="63" t="s">
        <v>563</v>
      </c>
      <c r="C12" s="2">
        <v>8</v>
      </c>
      <c r="D12" s="2">
        <v>6</v>
      </c>
      <c r="E12" s="2">
        <v>7</v>
      </c>
      <c r="F12" s="2">
        <v>6</v>
      </c>
      <c r="G12" s="2">
        <f>F12+E12+D12+C12</f>
        <v>27</v>
      </c>
    </row>
    <row r="13" spans="1:7" ht="15.75" x14ac:dyDescent="0.25">
      <c r="A13" s="2">
        <v>7</v>
      </c>
      <c r="B13" s="63" t="s">
        <v>564</v>
      </c>
      <c r="C13" s="2">
        <v>12</v>
      </c>
      <c r="D13" s="2">
        <v>14</v>
      </c>
      <c r="E13" s="2">
        <v>6</v>
      </c>
      <c r="F13" s="2">
        <v>13</v>
      </c>
      <c r="G13" s="2">
        <f>F13+E13+D13+C13</f>
        <v>45</v>
      </c>
    </row>
    <row r="14" spans="1:7" ht="15.75" x14ac:dyDescent="0.25">
      <c r="A14" s="2">
        <v>8</v>
      </c>
      <c r="B14" s="63" t="s">
        <v>565</v>
      </c>
      <c r="C14" s="2">
        <v>10</v>
      </c>
      <c r="D14" s="2">
        <v>11</v>
      </c>
      <c r="E14" s="2">
        <v>9</v>
      </c>
      <c r="F14" s="2">
        <v>11</v>
      </c>
      <c r="G14" s="2">
        <f>F14+E14+D14+C14</f>
        <v>41</v>
      </c>
    </row>
    <row r="15" spans="1:7" ht="15.75" x14ac:dyDescent="0.25">
      <c r="A15" s="2">
        <v>9</v>
      </c>
      <c r="B15" s="63" t="s">
        <v>566</v>
      </c>
      <c r="C15" s="2">
        <v>11</v>
      </c>
      <c r="D15" s="2">
        <v>15</v>
      </c>
      <c r="E15" s="2">
        <v>18</v>
      </c>
      <c r="F15" s="2">
        <v>17</v>
      </c>
      <c r="G15" s="2">
        <f>F15+E15+D15+C15</f>
        <v>61</v>
      </c>
    </row>
    <row r="16" spans="1:7" ht="15.75" x14ac:dyDescent="0.25">
      <c r="A16" s="2">
        <v>10</v>
      </c>
      <c r="B16" s="63" t="s">
        <v>567</v>
      </c>
      <c r="C16" s="2">
        <v>2</v>
      </c>
      <c r="D16" s="2">
        <v>11</v>
      </c>
      <c r="E16" s="2">
        <v>9</v>
      </c>
      <c r="F16" s="2">
        <v>12</v>
      </c>
      <c r="G16" s="2">
        <f>C16+D16+E16+F16</f>
        <v>34</v>
      </c>
    </row>
    <row r="17" spans="1:7" ht="15.75" x14ac:dyDescent="0.25">
      <c r="A17" s="2">
        <v>11</v>
      </c>
      <c r="B17" s="63" t="s">
        <v>568</v>
      </c>
      <c r="C17" s="2">
        <v>8</v>
      </c>
      <c r="D17" s="2">
        <v>11</v>
      </c>
      <c r="E17" s="2">
        <v>9</v>
      </c>
      <c r="F17" s="2">
        <v>11</v>
      </c>
      <c r="G17" s="2">
        <f>F17+E17+D17+C17</f>
        <v>39</v>
      </c>
    </row>
    <row r="18" spans="1:7" ht="15.75" x14ac:dyDescent="0.25">
      <c r="A18" s="2">
        <v>12</v>
      </c>
      <c r="B18" s="63" t="s">
        <v>569</v>
      </c>
      <c r="C18" s="2">
        <v>8</v>
      </c>
      <c r="D18" s="2">
        <v>9</v>
      </c>
      <c r="E18" s="2">
        <v>9</v>
      </c>
      <c r="F18" s="2">
        <v>7</v>
      </c>
      <c r="G18" s="2">
        <f>C18+D18+E18+F18</f>
        <v>33</v>
      </c>
    </row>
    <row r="19" spans="1:7" ht="15.75" x14ac:dyDescent="0.25">
      <c r="A19" s="2">
        <v>13</v>
      </c>
      <c r="B19" s="63" t="s">
        <v>570</v>
      </c>
      <c r="C19" s="2">
        <v>10</v>
      </c>
      <c r="D19" s="2">
        <v>10</v>
      </c>
      <c r="E19" s="2">
        <v>6</v>
      </c>
      <c r="F19" s="2">
        <v>3</v>
      </c>
      <c r="G19" s="2">
        <f>F19+E19+D19+C19</f>
        <v>29</v>
      </c>
    </row>
    <row r="20" spans="1:7" ht="15.75" x14ac:dyDescent="0.25">
      <c r="A20" s="2">
        <v>14</v>
      </c>
      <c r="B20" s="63" t="s">
        <v>571</v>
      </c>
      <c r="C20" s="2">
        <v>6</v>
      </c>
      <c r="D20" s="2">
        <v>12</v>
      </c>
      <c r="E20" s="2">
        <v>10</v>
      </c>
      <c r="F20" s="2">
        <v>10</v>
      </c>
      <c r="G20" s="2">
        <f>C20+D20+E20+F20</f>
        <v>38</v>
      </c>
    </row>
    <row r="21" spans="1:7" ht="15.75" x14ac:dyDescent="0.25">
      <c r="A21" s="2">
        <v>15</v>
      </c>
      <c r="B21" s="63" t="s">
        <v>572</v>
      </c>
      <c r="C21" s="2">
        <v>11</v>
      </c>
      <c r="D21" s="2">
        <v>10</v>
      </c>
      <c r="E21" s="2">
        <v>6</v>
      </c>
      <c r="F21" s="2">
        <v>9</v>
      </c>
      <c r="G21" s="2">
        <f>F21+E21+D21+C21</f>
        <v>36</v>
      </c>
    </row>
    <row r="22" spans="1:7" ht="15.75" x14ac:dyDescent="0.25">
      <c r="A22" s="2">
        <v>16</v>
      </c>
      <c r="B22" s="63" t="s">
        <v>573</v>
      </c>
      <c r="C22" s="2">
        <v>9</v>
      </c>
      <c r="D22" s="2">
        <v>11</v>
      </c>
      <c r="E22" s="2">
        <v>7</v>
      </c>
      <c r="F22" s="2">
        <v>6</v>
      </c>
      <c r="G22" s="2">
        <f>F22+E22+D22+C22</f>
        <v>33</v>
      </c>
    </row>
    <row r="23" spans="1:7" ht="15.75" x14ac:dyDescent="0.25">
      <c r="A23" s="2">
        <v>17</v>
      </c>
      <c r="B23" s="63" t="s">
        <v>574</v>
      </c>
      <c r="C23" s="2">
        <v>9</v>
      </c>
      <c r="D23" s="2">
        <v>11</v>
      </c>
      <c r="E23" s="2">
        <v>14</v>
      </c>
      <c r="F23" s="2">
        <v>10</v>
      </c>
      <c r="G23" s="2">
        <f>C23+D23+E23+F23</f>
        <v>44</v>
      </c>
    </row>
    <row r="24" spans="1:7" ht="15.75" x14ac:dyDescent="0.25">
      <c r="A24" s="2">
        <v>18</v>
      </c>
      <c r="B24" s="63" t="s">
        <v>575</v>
      </c>
      <c r="C24" s="2">
        <v>6</v>
      </c>
      <c r="D24" s="2">
        <v>11</v>
      </c>
      <c r="E24" s="2">
        <v>5</v>
      </c>
      <c r="F24" s="2">
        <v>8</v>
      </c>
      <c r="G24" s="2">
        <f t="shared" ref="G24:G33" si="0">F24+E24+D24+C24</f>
        <v>30</v>
      </c>
    </row>
    <row r="25" spans="1:7" ht="15.75" x14ac:dyDescent="0.25">
      <c r="A25" s="2">
        <v>19</v>
      </c>
      <c r="B25" s="63" t="s">
        <v>576</v>
      </c>
      <c r="C25" s="2">
        <v>6</v>
      </c>
      <c r="D25" s="2">
        <v>9</v>
      </c>
      <c r="E25" s="2">
        <v>1</v>
      </c>
      <c r="F25" s="2">
        <v>2</v>
      </c>
      <c r="G25" s="2">
        <f t="shared" si="0"/>
        <v>18</v>
      </c>
    </row>
    <row r="26" spans="1:7" ht="15.75" x14ac:dyDescent="0.25">
      <c r="A26" s="2">
        <v>20</v>
      </c>
      <c r="B26" s="63" t="s">
        <v>577</v>
      </c>
      <c r="C26" s="2">
        <v>6</v>
      </c>
      <c r="D26" s="2">
        <v>9</v>
      </c>
      <c r="E26" s="2">
        <v>9</v>
      </c>
      <c r="F26" s="2">
        <v>8</v>
      </c>
      <c r="G26" s="2">
        <f t="shared" si="0"/>
        <v>32</v>
      </c>
    </row>
    <row r="27" spans="1:7" ht="15.75" x14ac:dyDescent="0.25">
      <c r="A27" s="2">
        <v>21</v>
      </c>
      <c r="B27" s="63" t="s">
        <v>578</v>
      </c>
      <c r="C27" s="2">
        <v>9</v>
      </c>
      <c r="D27" s="2">
        <v>8</v>
      </c>
      <c r="E27" s="2">
        <v>5</v>
      </c>
      <c r="F27" s="2">
        <v>10</v>
      </c>
      <c r="G27" s="2">
        <f t="shared" si="0"/>
        <v>32</v>
      </c>
    </row>
    <row r="28" spans="1:7" ht="15.75" x14ac:dyDescent="0.25">
      <c r="A28" s="2">
        <v>22</v>
      </c>
      <c r="B28" s="63" t="s">
        <v>579</v>
      </c>
      <c r="C28" s="2">
        <v>11</v>
      </c>
      <c r="D28" s="2">
        <v>12</v>
      </c>
      <c r="E28" s="2">
        <v>7</v>
      </c>
      <c r="F28" s="2">
        <v>13</v>
      </c>
      <c r="G28" s="2">
        <f t="shared" si="0"/>
        <v>43</v>
      </c>
    </row>
    <row r="29" spans="1:7" ht="15.75" x14ac:dyDescent="0.25">
      <c r="A29" s="2">
        <v>23</v>
      </c>
      <c r="B29" s="63" t="s">
        <v>580</v>
      </c>
      <c r="C29" s="2">
        <v>12</v>
      </c>
      <c r="D29" s="2">
        <v>16</v>
      </c>
      <c r="E29" s="2">
        <v>11</v>
      </c>
      <c r="F29" s="2">
        <v>10</v>
      </c>
      <c r="G29" s="2">
        <f t="shared" si="0"/>
        <v>49</v>
      </c>
    </row>
    <row r="30" spans="1:7" ht="15.75" x14ac:dyDescent="0.25">
      <c r="A30" s="2">
        <v>24</v>
      </c>
      <c r="B30" s="63" t="s">
        <v>581</v>
      </c>
      <c r="C30" s="2">
        <v>9</v>
      </c>
      <c r="D30" s="2">
        <v>9</v>
      </c>
      <c r="E30" s="2">
        <v>2</v>
      </c>
      <c r="F30" s="2">
        <v>10</v>
      </c>
      <c r="G30" s="2">
        <f t="shared" si="0"/>
        <v>30</v>
      </c>
    </row>
    <row r="31" spans="1:7" ht="15.75" x14ac:dyDescent="0.25">
      <c r="A31" s="2">
        <v>25</v>
      </c>
      <c r="B31" s="63" t="s">
        <v>582</v>
      </c>
      <c r="C31" s="2">
        <v>2</v>
      </c>
      <c r="D31" s="2">
        <v>11</v>
      </c>
      <c r="E31" s="2">
        <v>4</v>
      </c>
      <c r="F31" s="2">
        <v>5</v>
      </c>
      <c r="G31" s="2">
        <f t="shared" si="0"/>
        <v>22</v>
      </c>
    </row>
    <row r="32" spans="1:7" ht="15.75" x14ac:dyDescent="0.25">
      <c r="A32" s="2">
        <v>26</v>
      </c>
      <c r="B32" s="63" t="s">
        <v>583</v>
      </c>
      <c r="C32" s="2">
        <v>7</v>
      </c>
      <c r="D32" s="2">
        <v>12</v>
      </c>
      <c r="E32" s="2">
        <v>8</v>
      </c>
      <c r="F32" s="2">
        <v>9</v>
      </c>
      <c r="G32" s="2">
        <f t="shared" si="0"/>
        <v>36</v>
      </c>
    </row>
    <row r="33" spans="1:7" ht="15.75" x14ac:dyDescent="0.25">
      <c r="A33" s="2">
        <v>27</v>
      </c>
      <c r="B33" s="63" t="s">
        <v>584</v>
      </c>
      <c r="C33" s="2">
        <v>12</v>
      </c>
      <c r="D33" s="2">
        <v>14</v>
      </c>
      <c r="E33" s="2">
        <v>9</v>
      </c>
      <c r="F33" s="2">
        <v>10</v>
      </c>
      <c r="G33" s="2">
        <f t="shared" si="0"/>
        <v>45</v>
      </c>
    </row>
    <row r="34" spans="1:7" ht="15.75" x14ac:dyDescent="0.25">
      <c r="A34" s="2">
        <v>28</v>
      </c>
      <c r="B34" s="63" t="s">
        <v>585</v>
      </c>
      <c r="C34" s="2">
        <v>8</v>
      </c>
      <c r="D34" s="2">
        <v>12</v>
      </c>
      <c r="E34" s="2">
        <v>7</v>
      </c>
      <c r="F34" s="2">
        <v>9</v>
      </c>
      <c r="G34" s="2">
        <f>C34+D34+E34+F34</f>
        <v>36</v>
      </c>
    </row>
    <row r="35" spans="1:7" ht="15.75" x14ac:dyDescent="0.25">
      <c r="A35" s="2">
        <v>29</v>
      </c>
      <c r="B35" s="63" t="s">
        <v>586</v>
      </c>
      <c r="C35" s="2">
        <v>5</v>
      </c>
      <c r="D35" s="2">
        <v>3</v>
      </c>
      <c r="E35" s="2">
        <v>2</v>
      </c>
      <c r="F35" s="2">
        <v>3</v>
      </c>
      <c r="G35" s="2">
        <f>F35+E35+D35+C35</f>
        <v>13</v>
      </c>
    </row>
    <row r="36" spans="1:7" ht="15.75" x14ac:dyDescent="0.25">
      <c r="A36" s="2">
        <v>30</v>
      </c>
      <c r="B36" s="63" t="s">
        <v>587</v>
      </c>
      <c r="C36" s="2">
        <v>8</v>
      </c>
      <c r="D36" s="2">
        <v>6</v>
      </c>
      <c r="E36" s="2">
        <v>7</v>
      </c>
      <c r="F36" s="2">
        <v>7</v>
      </c>
      <c r="G36" s="2">
        <f>C36+D36+E36+F36</f>
        <v>28</v>
      </c>
    </row>
    <row r="37" spans="1:7" ht="15.75" x14ac:dyDescent="0.25">
      <c r="A37" s="2">
        <v>31</v>
      </c>
      <c r="B37" s="63" t="s">
        <v>588</v>
      </c>
      <c r="C37" s="2">
        <v>5</v>
      </c>
      <c r="D37" s="2">
        <v>9</v>
      </c>
      <c r="E37" s="2">
        <v>9</v>
      </c>
      <c r="F37" s="2">
        <v>10</v>
      </c>
      <c r="G37" s="2">
        <f>F37+E37+D37+C37</f>
        <v>33</v>
      </c>
    </row>
    <row r="38" spans="1:7" ht="15.75" x14ac:dyDescent="0.25">
      <c r="A38" s="2">
        <v>32</v>
      </c>
      <c r="B38" s="63" t="s">
        <v>589</v>
      </c>
      <c r="C38" s="2">
        <v>5</v>
      </c>
      <c r="D38" s="2">
        <v>9</v>
      </c>
      <c r="E38" s="2">
        <v>3</v>
      </c>
      <c r="F38" s="2">
        <v>8</v>
      </c>
      <c r="G38" s="2">
        <f>C38+D38+E38+F38</f>
        <v>25</v>
      </c>
    </row>
    <row r="39" spans="1:7" ht="15.75" x14ac:dyDescent="0.25">
      <c r="A39" s="2">
        <v>33</v>
      </c>
      <c r="B39" s="63" t="s">
        <v>590</v>
      </c>
      <c r="C39" s="2">
        <v>11</v>
      </c>
      <c r="D39" s="2">
        <v>15</v>
      </c>
      <c r="E39" s="2">
        <v>10</v>
      </c>
      <c r="F39" s="2">
        <v>12</v>
      </c>
      <c r="G39" s="2">
        <f>F39+E39+D39+C39</f>
        <v>48</v>
      </c>
    </row>
    <row r="40" spans="1:7" ht="15.75" x14ac:dyDescent="0.25">
      <c r="A40" s="2">
        <v>34</v>
      </c>
      <c r="B40" s="63" t="s">
        <v>591</v>
      </c>
      <c r="C40" s="2">
        <v>7</v>
      </c>
      <c r="D40" s="2">
        <v>12</v>
      </c>
      <c r="E40" s="2">
        <v>8</v>
      </c>
      <c r="F40" s="2">
        <v>10</v>
      </c>
      <c r="G40" s="2">
        <f>C40+D40+E40+F40</f>
        <v>37</v>
      </c>
    </row>
    <row r="41" spans="1:7" ht="15.75" x14ac:dyDescent="0.25">
      <c r="A41" s="2">
        <v>35</v>
      </c>
      <c r="B41" s="63" t="s">
        <v>592</v>
      </c>
      <c r="C41" s="2">
        <v>9</v>
      </c>
      <c r="D41" s="2">
        <v>14</v>
      </c>
      <c r="E41" s="2">
        <v>15</v>
      </c>
      <c r="F41" s="2">
        <v>13</v>
      </c>
      <c r="G41" s="2">
        <f>F41+E41+D41+C41</f>
        <v>51</v>
      </c>
    </row>
    <row r="42" spans="1:7" ht="15.75" x14ac:dyDescent="0.25">
      <c r="A42" s="2">
        <v>36</v>
      </c>
      <c r="B42" s="63" t="s">
        <v>593</v>
      </c>
      <c r="C42" s="2">
        <v>5</v>
      </c>
      <c r="D42" s="2">
        <v>8</v>
      </c>
      <c r="E42" s="2">
        <v>7</v>
      </c>
      <c r="F42" s="2">
        <v>7</v>
      </c>
      <c r="G42" s="2">
        <f>C42+D42+E42+F42</f>
        <v>27</v>
      </c>
    </row>
    <row r="43" spans="1:7" ht="15.75" x14ac:dyDescent="0.25">
      <c r="A43" s="2">
        <v>37</v>
      </c>
      <c r="B43" s="63" t="s">
        <v>594</v>
      </c>
      <c r="C43" s="2">
        <v>9</v>
      </c>
      <c r="D43" s="2">
        <v>9</v>
      </c>
      <c r="E43" s="2">
        <v>7</v>
      </c>
      <c r="F43" s="2">
        <v>12</v>
      </c>
      <c r="G43" s="2">
        <f>F43+E43+D43+C43</f>
        <v>37</v>
      </c>
    </row>
    <row r="44" spans="1:7" ht="15.75" x14ac:dyDescent="0.25">
      <c r="A44" s="2">
        <v>38</v>
      </c>
      <c r="B44" s="63" t="s">
        <v>595</v>
      </c>
      <c r="C44" s="2">
        <v>2</v>
      </c>
      <c r="D44" s="2">
        <v>5</v>
      </c>
      <c r="E44" s="2">
        <v>12</v>
      </c>
      <c r="F44" s="2">
        <v>2</v>
      </c>
      <c r="G44" s="2">
        <f>F44+E44+D44+C44</f>
        <v>21</v>
      </c>
    </row>
    <row r="45" spans="1:7" ht="15.75" x14ac:dyDescent="0.25">
      <c r="A45" s="2">
        <v>39</v>
      </c>
      <c r="B45" s="63" t="s">
        <v>596</v>
      </c>
      <c r="C45" s="2">
        <v>11</v>
      </c>
      <c r="D45" s="2">
        <v>17</v>
      </c>
      <c r="E45" s="2">
        <v>11</v>
      </c>
      <c r="F45" s="2">
        <v>10</v>
      </c>
      <c r="G45" s="2">
        <f>F45+E45+D45+C45</f>
        <v>49</v>
      </c>
    </row>
    <row r="46" spans="1:7" ht="15.75" x14ac:dyDescent="0.25">
      <c r="A46" s="2">
        <v>40</v>
      </c>
      <c r="B46" s="63" t="s">
        <v>597</v>
      </c>
      <c r="C46" s="2">
        <v>5</v>
      </c>
      <c r="D46" s="2">
        <v>9</v>
      </c>
      <c r="E46" s="2">
        <v>12</v>
      </c>
      <c r="F46" s="2">
        <v>12</v>
      </c>
      <c r="G46" s="2">
        <f>F46+E46+D46+C46</f>
        <v>38</v>
      </c>
    </row>
    <row r="47" spans="1:7" ht="15.75" x14ac:dyDescent="0.25">
      <c r="A47" s="2">
        <v>41</v>
      </c>
      <c r="B47" s="63" t="s">
        <v>598</v>
      </c>
      <c r="C47" s="2">
        <v>2</v>
      </c>
      <c r="D47" s="2">
        <v>4</v>
      </c>
      <c r="E47" s="2"/>
      <c r="F47" s="2">
        <v>0</v>
      </c>
      <c r="G47" s="2">
        <f>D47+C47</f>
        <v>6</v>
      </c>
    </row>
    <row r="48" spans="1:7" ht="15.75" x14ac:dyDescent="0.25">
      <c r="A48" s="2">
        <v>42</v>
      </c>
      <c r="B48" s="63" t="s">
        <v>599</v>
      </c>
      <c r="C48" s="2">
        <v>8</v>
      </c>
      <c r="D48" s="2">
        <v>8</v>
      </c>
      <c r="E48" s="2">
        <v>8</v>
      </c>
      <c r="F48" s="2">
        <v>7</v>
      </c>
      <c r="G48" s="2">
        <f>F48+E48+D48+C48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BCSIT III </vt:lpstr>
      <vt:lpstr>BCSIT V </vt:lpstr>
      <vt:lpstr>BCIS VII </vt:lpstr>
      <vt:lpstr>BCIS VIII</vt:lpstr>
      <vt:lpstr>BCSIT I </vt:lpstr>
      <vt:lpstr>BCA I </vt:lpstr>
      <vt:lpstr>BCA III </vt:lpstr>
      <vt:lpstr>BCA V </vt:lpstr>
      <vt:lpstr>BCA VII </vt:lpstr>
      <vt:lpstr>BCA VIII </vt:lpstr>
      <vt:lpstr>BBA I </vt:lpstr>
      <vt:lpstr>BBA III </vt:lpstr>
      <vt:lpstr>BBA V </vt:lpstr>
      <vt:lpstr>BBA VII </vt:lpstr>
      <vt:lpstr>BBA VIII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De</cp:lastModifiedBy>
  <cp:lastPrinted>2026-02-20T03:13:01Z</cp:lastPrinted>
  <dcterms:created xsi:type="dcterms:W3CDTF">2026-02-11T04:47:12Z</dcterms:created>
  <dcterms:modified xsi:type="dcterms:W3CDTF">2026-02-26T03:30:44Z</dcterms:modified>
</cp:coreProperties>
</file>