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/>
  </bookViews>
  <sheets>
    <sheet name="B Research Methods" sheetId="1" r:id="rId1"/>
    <sheet name="operations Management" sheetId="2" r:id="rId2"/>
    <sheet name="Mangerial Accounting" sheetId="3" r:id="rId3"/>
    <sheet name="Microfinance" sheetId="4" r:id="rId4"/>
    <sheet name="Human Resource" sheetId="5" r:id="rId5"/>
  </sheets>
  <calcPr calcId="162913"/>
</workbook>
</file>

<file path=xl/calcChain.xml><?xml version="1.0" encoding="utf-8"?>
<calcChain xmlns="http://schemas.openxmlformats.org/spreadsheetml/2006/main">
  <c r="N7" i="1" l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6" i="1"/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6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6" i="2"/>
  <c r="J7" i="5" l="1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6" i="5"/>
  <c r="L9" i="4"/>
  <c r="J6" i="2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N16" i="2" l="1"/>
  <c r="N20" i="2"/>
  <c r="L29" i="5"/>
  <c r="N29" i="5" s="1"/>
  <c r="L28" i="5"/>
  <c r="N28" i="5" s="1"/>
  <c r="L27" i="5"/>
  <c r="N27" i="5" s="1"/>
  <c r="L26" i="5"/>
  <c r="N26" i="5" s="1"/>
  <c r="L25" i="5"/>
  <c r="N25" i="5" s="1"/>
  <c r="L24" i="5"/>
  <c r="N24" i="5" s="1"/>
  <c r="L23" i="5"/>
  <c r="N23" i="5" s="1"/>
  <c r="L22" i="5"/>
  <c r="N22" i="5" s="1"/>
  <c r="L21" i="5"/>
  <c r="N21" i="5" s="1"/>
  <c r="L20" i="5"/>
  <c r="N20" i="5" s="1"/>
  <c r="L19" i="5"/>
  <c r="N19" i="5" s="1"/>
  <c r="L18" i="5"/>
  <c r="N18" i="5" s="1"/>
  <c r="L17" i="5"/>
  <c r="N17" i="5" s="1"/>
  <c r="L16" i="5"/>
  <c r="N16" i="5" s="1"/>
  <c r="L15" i="5"/>
  <c r="N15" i="5" s="1"/>
  <c r="L14" i="5"/>
  <c r="N14" i="5" s="1"/>
  <c r="L13" i="5"/>
  <c r="N13" i="5" s="1"/>
  <c r="L12" i="5"/>
  <c r="N12" i="5" s="1"/>
  <c r="L11" i="5"/>
  <c r="N11" i="5" s="1"/>
  <c r="L10" i="5"/>
  <c r="N10" i="5" s="1"/>
  <c r="L9" i="5"/>
  <c r="N9" i="5" s="1"/>
  <c r="L8" i="5"/>
  <c r="N8" i="5" s="1"/>
  <c r="L7" i="5"/>
  <c r="N7" i="5" s="1"/>
  <c r="L6" i="5"/>
  <c r="N6" i="5" s="1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L29" i="4"/>
  <c r="J29" i="4"/>
  <c r="L28" i="4"/>
  <c r="J28" i="4"/>
  <c r="L27" i="4"/>
  <c r="J27" i="4"/>
  <c r="L26" i="4"/>
  <c r="J26" i="4"/>
  <c r="L25" i="4"/>
  <c r="J25" i="4"/>
  <c r="L24" i="4"/>
  <c r="J24" i="4"/>
  <c r="L23" i="4"/>
  <c r="J23" i="4"/>
  <c r="L22" i="4"/>
  <c r="J22" i="4"/>
  <c r="L21" i="4"/>
  <c r="J21" i="4"/>
  <c r="L20" i="4"/>
  <c r="J20" i="4"/>
  <c r="L19" i="4"/>
  <c r="J19" i="4"/>
  <c r="L18" i="4"/>
  <c r="J18" i="4"/>
  <c r="L17" i="4"/>
  <c r="J17" i="4"/>
  <c r="L16" i="4"/>
  <c r="J16" i="4"/>
  <c r="L15" i="4"/>
  <c r="J15" i="4"/>
  <c r="L14" i="4"/>
  <c r="J14" i="4"/>
  <c r="L13" i="4"/>
  <c r="J13" i="4"/>
  <c r="L12" i="4"/>
  <c r="J12" i="4"/>
  <c r="L11" i="4"/>
  <c r="J11" i="4"/>
  <c r="L10" i="4"/>
  <c r="J10" i="4"/>
  <c r="J9" i="4"/>
  <c r="L8" i="4"/>
  <c r="J8" i="4"/>
  <c r="L7" i="4"/>
  <c r="J7" i="4"/>
  <c r="L6" i="4"/>
  <c r="J6" i="4"/>
  <c r="L29" i="3"/>
  <c r="J29" i="3"/>
  <c r="L28" i="3"/>
  <c r="J28" i="3"/>
  <c r="L27" i="3"/>
  <c r="J27" i="3"/>
  <c r="L26" i="3"/>
  <c r="J26" i="3"/>
  <c r="L25" i="3"/>
  <c r="J25" i="3"/>
  <c r="L24" i="3"/>
  <c r="J24" i="3"/>
  <c r="L23" i="3"/>
  <c r="J23" i="3"/>
  <c r="L22" i="3"/>
  <c r="J22" i="3"/>
  <c r="L21" i="3"/>
  <c r="J21" i="3"/>
  <c r="L20" i="3"/>
  <c r="J20" i="3"/>
  <c r="L19" i="3"/>
  <c r="J19" i="3"/>
  <c r="L18" i="3"/>
  <c r="J18" i="3"/>
  <c r="L17" i="3"/>
  <c r="J17" i="3"/>
  <c r="L16" i="3"/>
  <c r="J16" i="3"/>
  <c r="L15" i="3"/>
  <c r="J15" i="3"/>
  <c r="L14" i="3"/>
  <c r="J14" i="3"/>
  <c r="L13" i="3"/>
  <c r="J13" i="3"/>
  <c r="L12" i="3"/>
  <c r="J12" i="3"/>
  <c r="L11" i="3"/>
  <c r="J11" i="3"/>
  <c r="L10" i="3"/>
  <c r="J10" i="3"/>
  <c r="L9" i="3"/>
  <c r="J9" i="3"/>
  <c r="L8" i="3"/>
  <c r="J8" i="3"/>
  <c r="L7" i="3"/>
  <c r="J7" i="3"/>
  <c r="L6" i="3"/>
  <c r="J6" i="3"/>
  <c r="N26" i="2"/>
  <c r="N25" i="2"/>
  <c r="N24" i="2"/>
  <c r="N23" i="2"/>
  <c r="N22" i="2"/>
  <c r="N19" i="2"/>
  <c r="N17" i="2"/>
  <c r="N15" i="2"/>
  <c r="N14" i="2"/>
  <c r="N11" i="2"/>
  <c r="N9" i="2"/>
  <c r="N8" i="2"/>
  <c r="N7" i="2"/>
  <c r="N6" i="2"/>
  <c r="L54" i="1"/>
  <c r="J54" i="1"/>
  <c r="L53" i="1"/>
  <c r="J53" i="1"/>
  <c r="L52" i="1"/>
  <c r="J52" i="1"/>
  <c r="L51" i="1"/>
  <c r="J51" i="1"/>
  <c r="L50" i="1"/>
  <c r="J50" i="1"/>
  <c r="L49" i="1"/>
  <c r="J49" i="1"/>
  <c r="L48" i="1"/>
  <c r="J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4" i="1"/>
  <c r="J34" i="1"/>
  <c r="L33" i="1"/>
  <c r="J33" i="1"/>
  <c r="L32" i="1"/>
  <c r="J32" i="1"/>
  <c r="L31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N14" i="4" l="1"/>
  <c r="N20" i="4"/>
  <c r="N24" i="4"/>
  <c r="N7" i="4"/>
  <c r="N28" i="4"/>
  <c r="N24" i="3"/>
  <c r="N7" i="3"/>
  <c r="N14" i="3"/>
  <c r="N28" i="3"/>
  <c r="N20" i="3"/>
  <c r="N10" i="3"/>
  <c r="N16" i="3"/>
  <c r="N23" i="3"/>
  <c r="N13" i="4"/>
  <c r="N19" i="4"/>
  <c r="N27" i="4"/>
  <c r="N9" i="3"/>
  <c r="N22" i="3"/>
  <c r="N6" i="4"/>
  <c r="N12" i="4"/>
  <c r="N18" i="4"/>
  <c r="N26" i="4"/>
  <c r="N29" i="2"/>
  <c r="N28" i="2"/>
  <c r="N8" i="3"/>
  <c r="N11" i="3"/>
  <c r="N15" i="3"/>
  <c r="N17" i="3"/>
  <c r="N21" i="3"/>
  <c r="N25" i="3"/>
  <c r="N29" i="3"/>
  <c r="N8" i="4"/>
  <c r="N11" i="4"/>
  <c r="N15" i="4"/>
  <c r="N17" i="4"/>
  <c r="N21" i="4"/>
  <c r="N25" i="4"/>
  <c r="N29" i="4"/>
  <c r="N18" i="2"/>
  <c r="N13" i="2"/>
  <c r="N13" i="3"/>
  <c r="N19" i="3"/>
  <c r="N27" i="3"/>
  <c r="N10" i="4"/>
  <c r="N16" i="4"/>
  <c r="N23" i="4"/>
  <c r="N12" i="2"/>
  <c r="N6" i="3"/>
  <c r="N12" i="3"/>
  <c r="N18" i="3"/>
  <c r="N26" i="3"/>
  <c r="N9" i="4"/>
  <c r="N22" i="4"/>
  <c r="N21" i="2"/>
  <c r="N10" i="2"/>
  <c r="N27" i="2"/>
</calcChain>
</file>

<file path=xl/sharedStrings.xml><?xml version="1.0" encoding="utf-8"?>
<sst xmlns="http://schemas.openxmlformats.org/spreadsheetml/2006/main" count="247" uniqueCount="59">
  <si>
    <t>Crimson College of Technology</t>
  </si>
  <si>
    <t>Devinagar, Butwal-11, Ruapndehi</t>
  </si>
  <si>
    <t>Date:……………….…………</t>
  </si>
  <si>
    <t>SN</t>
  </si>
  <si>
    <t>Symbol No</t>
  </si>
  <si>
    <t>Name</t>
  </si>
  <si>
    <t>Total Attendance [Kartik 25- Falgun -03]</t>
  </si>
  <si>
    <t>Attendance (3Marks)</t>
  </si>
  <si>
    <t>Assignments (5Marks)</t>
  </si>
  <si>
    <t>Unit Test (5Marks)</t>
  </si>
  <si>
    <t>Presentation (2Marks)</t>
  </si>
  <si>
    <t xml:space="preserve">Marks Obtained in First Term </t>
  </si>
  <si>
    <t>First Term Exam (10Marks)</t>
  </si>
  <si>
    <t>Send Up Exam Marks[100]</t>
  </si>
  <si>
    <t>Send-Up Marks After Conversion</t>
  </si>
  <si>
    <t>Grace Marks</t>
  </si>
  <si>
    <t>Total Marks (50%)</t>
  </si>
  <si>
    <t>……………………………..</t>
  </si>
  <si>
    <t>Lecturer Signature</t>
  </si>
  <si>
    <t>Program : BBA</t>
  </si>
  <si>
    <t>Aakriti Gywali (PU)</t>
  </si>
  <si>
    <t>Akrti Pandey (PU)</t>
  </si>
  <si>
    <t>Aman Upadhyaya</t>
  </si>
  <si>
    <t>Amrita Pandey</t>
  </si>
  <si>
    <t>Amrita Pandey (PU)</t>
  </si>
  <si>
    <t>Anusa Pandeya (PU)</t>
  </si>
  <si>
    <t>Anusha Gyawali</t>
  </si>
  <si>
    <t>Ayusha Khanal (PU)</t>
  </si>
  <si>
    <t>Bhawana Pandey (PU)</t>
  </si>
  <si>
    <t>Bipana Neupane (PU)</t>
  </si>
  <si>
    <t>Ishana Neupane</t>
  </si>
  <si>
    <t>Mega Thapa</t>
  </si>
  <si>
    <t>Nirmala Kunwar</t>
  </si>
  <si>
    <t>Nishant Rana</t>
  </si>
  <si>
    <t>Prakriti Pandey (PU)</t>
  </si>
  <si>
    <t>Pratikshya Paudyal</t>
  </si>
  <si>
    <t>Ranjana Kumari Chaudhary Tharu</t>
  </si>
  <si>
    <t>Rohit Tulachan</t>
  </si>
  <si>
    <t>Rupa Darlami (PU)</t>
  </si>
  <si>
    <t>Sampada Bagale</t>
  </si>
  <si>
    <t>Sangita Bhusal</t>
  </si>
  <si>
    <t>Shristi Pandey</t>
  </si>
  <si>
    <t>Simran Chhetri</t>
  </si>
  <si>
    <t>Thakur Prasad Khanal (PU)</t>
  </si>
  <si>
    <t>Yushika Gurung</t>
  </si>
  <si>
    <t>Students'  Evaluation Sheet  Fall-2025</t>
  </si>
  <si>
    <t>Semester : V</t>
  </si>
  <si>
    <t>Sub: Business Research Methods</t>
  </si>
  <si>
    <t xml:space="preserve">Total Attendance </t>
  </si>
  <si>
    <t>Students'  Evaluation Sheet  Spring-2025</t>
  </si>
  <si>
    <t>Sub: Operations Management</t>
  </si>
  <si>
    <t>Students'  Evaluation Sheet Fall-2025</t>
  </si>
  <si>
    <t>Sub:Basics of Managerial Accounting</t>
  </si>
  <si>
    <t>Sub: Microfinance</t>
  </si>
  <si>
    <t>Students'  Evaluation Sheet  fall-2025</t>
  </si>
  <si>
    <t xml:space="preserve">Sub: Management of Human Resources </t>
  </si>
  <si>
    <t>Abs</t>
  </si>
  <si>
    <t>Discipline (5Marks)</t>
  </si>
  <si>
    <t>Presentation/Project (5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</si>
</sst>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3"/>
      <color theme="1"/>
      <name val="Cambria"/>
      <family val="1"/>
    </font>
    <font>
      <b/>
      <sz val="10"/>
      <color theme="1"/>
      <name val="Cambria"/>
      <family val="1"/>
    </font>
    <font>
      <b/>
      <sz val="14"/>
      <name val="Agency FB"/>
      <family val="2"/>
    </font>
    <font>
      <b/>
      <sz val="12"/>
      <name val="Cambria"/>
      <family val="1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i/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1"/>
    </font>
    <font>
      <sz val="10"/>
      <name val="Arial"/>
      <family val="2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7" fillId="2" borderId="0" xfId="0" applyFont="1" applyFill="1"/>
    <xf numFmtId="0" fontId="5" fillId="2" borderId="0" xfId="0" applyFont="1" applyFill="1"/>
    <xf numFmtId="0" fontId="5" fillId="2" borderId="1" xfId="0" applyFont="1" applyFill="1" applyBorder="1" applyAlignment="1"/>
    <xf numFmtId="0" fontId="6" fillId="2" borderId="1" xfId="0" applyFont="1" applyFill="1" applyBorder="1" applyAlignment="1"/>
    <xf numFmtId="0" fontId="8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12" fillId="0" borderId="8" xfId="0" applyFont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0" fillId="3" borderId="0" xfId="0" applyFill="1"/>
    <xf numFmtId="0" fontId="0" fillId="0" borderId="3" xfId="0" applyBorder="1"/>
    <xf numFmtId="1" fontId="0" fillId="2" borderId="9" xfId="0" applyNumberForma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0" fillId="2" borderId="3" xfId="0" applyFill="1" applyBorder="1"/>
    <xf numFmtId="0" fontId="9" fillId="3" borderId="3" xfId="0" applyFont="1" applyFill="1" applyBorder="1" applyAlignment="1">
      <alignment horizontal="center"/>
    </xf>
    <xf numFmtId="0" fontId="0" fillId="3" borderId="3" xfId="0" applyFill="1" applyBorder="1"/>
    <xf numFmtId="0" fontId="0" fillId="2" borderId="10" xfId="0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12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9" fillId="2" borderId="0" xfId="0" applyFont="1" applyFill="1" applyBorder="1" applyAlignment="1">
      <alignment horizontal="center"/>
    </xf>
    <xf numFmtId="0" fontId="0" fillId="2" borderId="10" xfId="0" applyFill="1" applyBorder="1"/>
    <xf numFmtId="1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18" fillId="2" borderId="3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787884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366" cy="669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2</xdr:col>
      <xdr:colOff>35486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466725</xdr:colOff>
      <xdr:row>8</xdr:row>
      <xdr:rowOff>0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2667000"/>
          <a:ext cx="30480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136087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551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117037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3613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97987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170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4"/>
  <sheetViews>
    <sheetView tabSelected="1" topLeftCell="C2" zoomScale="110" zoomScaleNormal="110" workbookViewId="0">
      <selection activeCell="W59" sqref="W59"/>
    </sheetView>
  </sheetViews>
  <sheetFormatPr defaultRowHeight="15" x14ac:dyDescent="0.25"/>
  <cols>
    <col min="3" max="3" width="32" customWidth="1"/>
    <col min="4" max="4" width="12.42578125" customWidth="1"/>
    <col min="5" max="5" width="11" customWidth="1"/>
    <col min="6" max="6" width="11.7109375" customWidth="1"/>
    <col min="8" max="8" width="11.28515625" customWidth="1"/>
    <col min="9" max="9" width="12.28515625" customWidth="1"/>
    <col min="10" max="10" width="10.7109375" customWidth="1"/>
    <col min="11" max="11" width="11.28515625" customWidth="1"/>
    <col min="12" max="12" width="13.7109375" customWidth="1"/>
  </cols>
  <sheetData>
    <row r="1" spans="1:20" ht="16.5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1"/>
      <c r="P1" s="1"/>
      <c r="Q1" s="1"/>
      <c r="R1" s="1"/>
      <c r="S1" s="1"/>
      <c r="T1" s="1"/>
    </row>
    <row r="2" spans="1:20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"/>
      <c r="P2" s="1"/>
      <c r="Q2" s="1"/>
      <c r="R2" s="1"/>
      <c r="S2" s="1"/>
      <c r="T2" s="1"/>
    </row>
    <row r="3" spans="1:20" ht="19.5" x14ac:dyDescent="0.3">
      <c r="A3" s="59" t="s">
        <v>45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1"/>
      <c r="P3" s="1"/>
      <c r="Q3" s="1"/>
      <c r="R3" s="1"/>
      <c r="S3" s="1"/>
      <c r="T3" s="1"/>
    </row>
    <row r="4" spans="1:20" ht="16.5" thickBot="1" x14ac:dyDescent="0.3">
      <c r="A4" s="60" t="s">
        <v>19</v>
      </c>
      <c r="B4" s="61"/>
      <c r="C4" s="62" t="s">
        <v>46</v>
      </c>
      <c r="D4" s="63"/>
      <c r="E4" s="63"/>
      <c r="F4" s="2" t="s">
        <v>47</v>
      </c>
      <c r="G4" s="3"/>
      <c r="H4" s="4"/>
      <c r="I4" s="3"/>
      <c r="J4" s="3"/>
      <c r="K4" s="3"/>
      <c r="L4" s="5" t="s">
        <v>2</v>
      </c>
      <c r="M4" s="3"/>
      <c r="N4" s="3"/>
      <c r="O4" s="1"/>
      <c r="P4" s="1"/>
      <c r="Q4" s="1"/>
      <c r="R4" s="1"/>
      <c r="S4" s="1"/>
      <c r="T4" s="1"/>
    </row>
    <row r="5" spans="1:20" ht="34.5" thickBot="1" x14ac:dyDescent="0.3">
      <c r="A5" s="6" t="s">
        <v>3</v>
      </c>
      <c r="B5" s="7" t="s">
        <v>4</v>
      </c>
      <c r="C5" s="8" t="s">
        <v>5</v>
      </c>
      <c r="D5" s="9" t="s">
        <v>48</v>
      </c>
      <c r="E5" s="9" t="s">
        <v>8</v>
      </c>
      <c r="F5" s="9" t="s">
        <v>8</v>
      </c>
      <c r="G5" s="9" t="s">
        <v>57</v>
      </c>
      <c r="H5" s="9" t="s">
        <v>58</v>
      </c>
      <c r="I5" s="9" t="s">
        <v>11</v>
      </c>
      <c r="J5" s="16" t="s">
        <v>12</v>
      </c>
      <c r="K5" s="18" t="s">
        <v>13</v>
      </c>
      <c r="L5" s="17" t="s">
        <v>14</v>
      </c>
      <c r="M5" s="9" t="s">
        <v>15</v>
      </c>
      <c r="N5" s="9" t="s">
        <v>16</v>
      </c>
      <c r="O5" s="1"/>
      <c r="P5" s="1"/>
      <c r="Q5" s="1"/>
      <c r="R5" s="1"/>
      <c r="S5" s="1"/>
      <c r="T5" s="1"/>
    </row>
    <row r="6" spans="1:20" x14ac:dyDescent="0.25">
      <c r="A6" s="10">
        <v>1</v>
      </c>
      <c r="B6" s="13">
        <v>23031910</v>
      </c>
      <c r="C6" s="31" t="s">
        <v>20</v>
      </c>
      <c r="D6" s="12"/>
      <c r="E6" s="13">
        <v>5</v>
      </c>
      <c r="F6" s="13">
        <v>5</v>
      </c>
      <c r="G6" s="13">
        <v>5</v>
      </c>
      <c r="H6" s="13">
        <v>5</v>
      </c>
      <c r="I6" s="28">
        <v>20</v>
      </c>
      <c r="J6" s="14">
        <f>I6/5</f>
        <v>4</v>
      </c>
      <c r="K6" s="52">
        <v>40</v>
      </c>
      <c r="L6" s="13">
        <f>K6/5</f>
        <v>8</v>
      </c>
      <c r="M6" s="13">
        <v>13</v>
      </c>
      <c r="N6" s="15">
        <f>E6+F6+G6+H6+J6+L6+M6</f>
        <v>45</v>
      </c>
      <c r="O6" s="1"/>
      <c r="P6" s="1"/>
      <c r="Q6" s="1"/>
      <c r="R6" s="1"/>
      <c r="S6" s="1"/>
      <c r="T6" s="1"/>
    </row>
    <row r="7" spans="1:20" x14ac:dyDescent="0.25">
      <c r="A7" s="10">
        <v>3</v>
      </c>
      <c r="B7" s="13">
        <v>23031912</v>
      </c>
      <c r="C7" s="31" t="s">
        <v>21</v>
      </c>
      <c r="D7" s="12"/>
      <c r="E7" s="13">
        <v>5</v>
      </c>
      <c r="F7" s="13">
        <v>5</v>
      </c>
      <c r="G7" s="13">
        <v>5</v>
      </c>
      <c r="H7" s="13">
        <v>5</v>
      </c>
      <c r="I7" s="28">
        <v>28</v>
      </c>
      <c r="J7" s="14">
        <f t="shared" ref="J7:J54" si="0">I7/5</f>
        <v>5.6</v>
      </c>
      <c r="K7" s="53">
        <v>56</v>
      </c>
      <c r="L7" s="13">
        <f t="shared" ref="L7:L30" si="1">K7/5</f>
        <v>11.2</v>
      </c>
      <c r="M7" s="13">
        <v>8</v>
      </c>
      <c r="N7" s="15">
        <f t="shared" ref="N7:N54" si="2">E7+F7+G7+H7+J7+L7+M7</f>
        <v>44.8</v>
      </c>
      <c r="O7" s="1"/>
      <c r="P7" s="1"/>
      <c r="Q7" s="1"/>
      <c r="R7" s="1"/>
      <c r="S7" s="1"/>
      <c r="T7" s="1"/>
    </row>
    <row r="8" spans="1:20" x14ac:dyDescent="0.25">
      <c r="A8" s="10">
        <v>4</v>
      </c>
      <c r="B8" s="13">
        <v>23031913</v>
      </c>
      <c r="C8" s="31" t="s">
        <v>22</v>
      </c>
      <c r="D8" s="12"/>
      <c r="E8" s="13">
        <v>5</v>
      </c>
      <c r="F8" s="13">
        <v>5</v>
      </c>
      <c r="G8" s="13">
        <v>5</v>
      </c>
      <c r="H8" s="13">
        <v>5</v>
      </c>
      <c r="I8" s="28">
        <v>32.5</v>
      </c>
      <c r="J8" s="14">
        <f t="shared" si="0"/>
        <v>6.5</v>
      </c>
      <c r="K8" s="13">
        <v>65</v>
      </c>
      <c r="L8" s="13">
        <f t="shared" si="1"/>
        <v>13</v>
      </c>
      <c r="M8" s="13">
        <v>5</v>
      </c>
      <c r="N8" s="15">
        <f t="shared" si="2"/>
        <v>44.5</v>
      </c>
      <c r="O8" s="1"/>
      <c r="P8" s="1"/>
      <c r="Q8" s="1"/>
      <c r="R8" s="1"/>
      <c r="S8" s="1"/>
      <c r="T8" s="1"/>
    </row>
    <row r="9" spans="1:20" x14ac:dyDescent="0.25">
      <c r="A9" s="10">
        <v>5</v>
      </c>
      <c r="B9" s="13">
        <v>23031914</v>
      </c>
      <c r="C9" s="31" t="s">
        <v>23</v>
      </c>
      <c r="D9" s="12"/>
      <c r="E9" s="13">
        <v>5</v>
      </c>
      <c r="F9" s="13">
        <v>5</v>
      </c>
      <c r="G9" s="13">
        <v>5</v>
      </c>
      <c r="H9" s="13">
        <v>5</v>
      </c>
      <c r="I9" s="28">
        <v>40</v>
      </c>
      <c r="J9" s="14">
        <f t="shared" si="0"/>
        <v>8</v>
      </c>
      <c r="K9" s="13">
        <v>80</v>
      </c>
      <c r="L9" s="13">
        <f t="shared" si="1"/>
        <v>16</v>
      </c>
      <c r="M9" s="13">
        <v>2</v>
      </c>
      <c r="N9" s="15">
        <f t="shared" si="2"/>
        <v>46</v>
      </c>
      <c r="O9" s="1"/>
      <c r="P9" s="1"/>
      <c r="Q9" s="1"/>
      <c r="R9" s="1"/>
      <c r="S9" s="1"/>
      <c r="T9" s="1"/>
    </row>
    <row r="10" spans="1:20" x14ac:dyDescent="0.25">
      <c r="A10" s="10">
        <v>6</v>
      </c>
      <c r="B10" s="13">
        <v>23031915</v>
      </c>
      <c r="C10" s="31" t="s">
        <v>24</v>
      </c>
      <c r="D10" s="12"/>
      <c r="E10" s="13">
        <v>5</v>
      </c>
      <c r="F10" s="13">
        <v>5</v>
      </c>
      <c r="G10" s="13">
        <v>5</v>
      </c>
      <c r="H10" s="13">
        <v>5</v>
      </c>
      <c r="I10" s="28">
        <v>37.5</v>
      </c>
      <c r="J10" s="14">
        <f t="shared" si="0"/>
        <v>7.5</v>
      </c>
      <c r="K10" s="53">
        <v>75</v>
      </c>
      <c r="L10" s="13">
        <f t="shared" si="1"/>
        <v>15</v>
      </c>
      <c r="M10" s="13">
        <v>2</v>
      </c>
      <c r="N10" s="15">
        <f t="shared" si="2"/>
        <v>44.5</v>
      </c>
      <c r="O10" s="1"/>
      <c r="P10" s="1"/>
      <c r="Q10" s="1"/>
      <c r="R10" s="1"/>
      <c r="S10" s="1"/>
      <c r="T10" s="1"/>
    </row>
    <row r="11" spans="1:20" x14ac:dyDescent="0.25">
      <c r="A11" s="10">
        <v>7</v>
      </c>
      <c r="B11" s="13">
        <v>23031916</v>
      </c>
      <c r="C11" s="31" t="s">
        <v>25</v>
      </c>
      <c r="D11" s="12"/>
      <c r="E11" s="13">
        <v>5</v>
      </c>
      <c r="F11" s="13">
        <v>5</v>
      </c>
      <c r="G11" s="13">
        <v>5</v>
      </c>
      <c r="H11" s="13">
        <v>5</v>
      </c>
      <c r="I11" s="28" t="e">
        <v>#VALUE!</v>
      </c>
      <c r="J11" s="14" t="e">
        <f t="shared" si="0"/>
        <v>#VALUE!</v>
      </c>
      <c r="K11" s="53" t="s">
        <v>56</v>
      </c>
      <c r="L11" s="13" t="e">
        <f t="shared" si="1"/>
        <v>#VALUE!</v>
      </c>
      <c r="M11" s="13"/>
      <c r="N11" s="15">
        <v>38</v>
      </c>
      <c r="O11" s="1"/>
      <c r="P11" s="1"/>
      <c r="Q11" s="1"/>
      <c r="R11" s="1"/>
      <c r="S11" s="1"/>
      <c r="T11" s="1"/>
    </row>
    <row r="12" spans="1:20" x14ac:dyDescent="0.25">
      <c r="A12" s="10">
        <v>8</v>
      </c>
      <c r="B12" s="13">
        <v>23031917</v>
      </c>
      <c r="C12" s="31" t="s">
        <v>26</v>
      </c>
      <c r="D12" s="12"/>
      <c r="E12" s="13">
        <v>5</v>
      </c>
      <c r="F12" s="13">
        <v>5</v>
      </c>
      <c r="G12" s="13">
        <v>5</v>
      </c>
      <c r="H12" s="13">
        <v>5</v>
      </c>
      <c r="I12" s="28">
        <v>13</v>
      </c>
      <c r="J12" s="14">
        <f t="shared" si="0"/>
        <v>2.6</v>
      </c>
      <c r="K12" s="53">
        <v>26</v>
      </c>
      <c r="L12" s="13">
        <f t="shared" si="1"/>
        <v>5.2</v>
      </c>
      <c r="M12" s="13">
        <v>12</v>
      </c>
      <c r="N12" s="15">
        <f t="shared" si="2"/>
        <v>39.799999999999997</v>
      </c>
      <c r="O12" s="1"/>
      <c r="P12" s="1"/>
      <c r="Q12" s="1"/>
      <c r="R12" s="1"/>
      <c r="S12" s="1"/>
      <c r="T12" s="1"/>
    </row>
    <row r="13" spans="1:20" x14ac:dyDescent="0.25">
      <c r="A13" s="10">
        <v>9</v>
      </c>
      <c r="B13" s="13">
        <v>23031918</v>
      </c>
      <c r="C13" s="31" t="s">
        <v>27</v>
      </c>
      <c r="D13" s="12"/>
      <c r="E13" s="13">
        <v>5</v>
      </c>
      <c r="F13" s="13">
        <v>5</v>
      </c>
      <c r="G13" s="13">
        <v>5</v>
      </c>
      <c r="H13" s="13">
        <v>5</v>
      </c>
      <c r="I13" s="28">
        <v>13</v>
      </c>
      <c r="J13" s="14">
        <f t="shared" si="0"/>
        <v>2.6</v>
      </c>
      <c r="K13" s="53">
        <v>26</v>
      </c>
      <c r="L13" s="13">
        <f t="shared" si="1"/>
        <v>5.2</v>
      </c>
      <c r="M13" s="13">
        <v>12</v>
      </c>
      <c r="N13" s="15">
        <f t="shared" si="2"/>
        <v>39.799999999999997</v>
      </c>
      <c r="O13" s="1"/>
      <c r="P13" s="1"/>
      <c r="Q13" s="1"/>
      <c r="R13" s="1"/>
      <c r="S13" s="1"/>
      <c r="T13" s="1"/>
    </row>
    <row r="14" spans="1:20" x14ac:dyDescent="0.25">
      <c r="A14" s="10">
        <v>10</v>
      </c>
      <c r="B14" s="13">
        <v>23031919</v>
      </c>
      <c r="C14" s="31" t="s">
        <v>28</v>
      </c>
      <c r="D14" s="12"/>
      <c r="E14" s="13">
        <v>5</v>
      </c>
      <c r="F14" s="13">
        <v>5</v>
      </c>
      <c r="G14" s="13">
        <v>5</v>
      </c>
      <c r="H14" s="13">
        <v>5</v>
      </c>
      <c r="I14" s="28">
        <v>26</v>
      </c>
      <c r="J14" s="14">
        <f t="shared" si="0"/>
        <v>5.2</v>
      </c>
      <c r="K14" s="54">
        <v>52</v>
      </c>
      <c r="L14" s="13">
        <f t="shared" si="1"/>
        <v>10.4</v>
      </c>
      <c r="M14" s="13">
        <v>9</v>
      </c>
      <c r="N14" s="15">
        <f t="shared" si="2"/>
        <v>44.6</v>
      </c>
      <c r="O14" s="1"/>
      <c r="P14" s="1"/>
      <c r="Q14" s="1"/>
      <c r="R14" s="1"/>
      <c r="S14" s="1"/>
      <c r="T14" s="1"/>
    </row>
    <row r="15" spans="1:20" x14ac:dyDescent="0.25">
      <c r="A15" s="10">
        <v>11</v>
      </c>
      <c r="B15" s="13">
        <v>23031920</v>
      </c>
      <c r="C15" s="31" t="s">
        <v>29</v>
      </c>
      <c r="D15" s="12"/>
      <c r="E15" s="13">
        <v>5</v>
      </c>
      <c r="F15" s="13">
        <v>5</v>
      </c>
      <c r="G15" s="13">
        <v>5</v>
      </c>
      <c r="H15" s="13">
        <v>5</v>
      </c>
      <c r="I15" s="28">
        <v>17</v>
      </c>
      <c r="J15" s="14">
        <f t="shared" si="0"/>
        <v>3.4</v>
      </c>
      <c r="K15" s="55">
        <v>34</v>
      </c>
      <c r="L15" s="13">
        <f t="shared" si="1"/>
        <v>6.8</v>
      </c>
      <c r="M15" s="12">
        <v>10</v>
      </c>
      <c r="N15" s="15">
        <f t="shared" si="2"/>
        <v>40.200000000000003</v>
      </c>
      <c r="O15" s="1"/>
      <c r="P15" s="1"/>
      <c r="Q15" s="1"/>
      <c r="R15" s="1"/>
      <c r="S15" s="1"/>
      <c r="T15" s="1"/>
    </row>
    <row r="16" spans="1:20" x14ac:dyDescent="0.25">
      <c r="A16" s="10">
        <v>12</v>
      </c>
      <c r="B16" s="13">
        <v>23031921</v>
      </c>
      <c r="C16" s="31" t="s">
        <v>30</v>
      </c>
      <c r="D16" s="12"/>
      <c r="E16" s="13">
        <v>5</v>
      </c>
      <c r="F16" s="13">
        <v>5</v>
      </c>
      <c r="G16" s="13">
        <v>5</v>
      </c>
      <c r="H16" s="13">
        <v>5</v>
      </c>
      <c r="I16" s="28">
        <v>42.5</v>
      </c>
      <c r="J16" s="14">
        <f t="shared" si="0"/>
        <v>8.5</v>
      </c>
      <c r="K16" s="28">
        <v>85</v>
      </c>
      <c r="L16" s="13">
        <f t="shared" si="1"/>
        <v>17</v>
      </c>
      <c r="M16" s="13"/>
      <c r="N16" s="15">
        <f t="shared" si="2"/>
        <v>45.5</v>
      </c>
      <c r="O16" s="1"/>
      <c r="P16" s="1"/>
      <c r="Q16" s="1"/>
      <c r="R16" s="1"/>
      <c r="S16" s="1"/>
      <c r="T16" s="1"/>
    </row>
    <row r="17" spans="1:20" x14ac:dyDescent="0.25">
      <c r="A17" s="10">
        <v>14</v>
      </c>
      <c r="B17" s="13">
        <v>23031923</v>
      </c>
      <c r="C17" s="31" t="s">
        <v>31</v>
      </c>
      <c r="D17" s="12"/>
      <c r="E17" s="13">
        <v>5</v>
      </c>
      <c r="F17" s="13">
        <v>5</v>
      </c>
      <c r="G17" s="13">
        <v>5</v>
      </c>
      <c r="H17" s="13">
        <v>5</v>
      </c>
      <c r="I17" s="28">
        <v>33</v>
      </c>
      <c r="J17" s="14">
        <f t="shared" si="0"/>
        <v>6.6</v>
      </c>
      <c r="K17" s="55">
        <v>66</v>
      </c>
      <c r="L17" s="13">
        <f t="shared" si="1"/>
        <v>13.2</v>
      </c>
      <c r="M17" s="12">
        <v>5</v>
      </c>
      <c r="N17" s="15">
        <f t="shared" si="2"/>
        <v>44.8</v>
      </c>
      <c r="O17" s="1"/>
      <c r="P17" s="1"/>
      <c r="Q17" s="1"/>
      <c r="R17" s="1"/>
      <c r="S17" s="1"/>
      <c r="T17" s="1"/>
    </row>
    <row r="18" spans="1:20" x14ac:dyDescent="0.25">
      <c r="A18" s="10">
        <v>16</v>
      </c>
      <c r="B18" s="13">
        <v>23031925</v>
      </c>
      <c r="C18" s="31" t="s">
        <v>32</v>
      </c>
      <c r="D18" s="12"/>
      <c r="E18" s="13">
        <v>5</v>
      </c>
      <c r="F18" s="13">
        <v>5</v>
      </c>
      <c r="G18" s="13">
        <v>5</v>
      </c>
      <c r="H18" s="13">
        <v>5</v>
      </c>
      <c r="I18" s="28">
        <v>47</v>
      </c>
      <c r="J18" s="14">
        <f t="shared" si="0"/>
        <v>9.4</v>
      </c>
      <c r="K18" s="53">
        <v>94</v>
      </c>
      <c r="L18" s="13">
        <f t="shared" si="1"/>
        <v>18.8</v>
      </c>
      <c r="M18" s="13"/>
      <c r="N18" s="15">
        <f t="shared" si="2"/>
        <v>48.2</v>
      </c>
      <c r="O18" s="1"/>
      <c r="P18" s="1"/>
      <c r="Q18" s="1"/>
      <c r="R18" s="1"/>
      <c r="S18" s="1"/>
      <c r="T18" s="1"/>
    </row>
    <row r="19" spans="1:20" x14ac:dyDescent="0.25">
      <c r="A19" s="10">
        <v>17</v>
      </c>
      <c r="B19" s="13">
        <v>23031926</v>
      </c>
      <c r="C19" s="31" t="s">
        <v>33</v>
      </c>
      <c r="D19" s="12"/>
      <c r="E19" s="13">
        <v>5</v>
      </c>
      <c r="F19" s="13">
        <v>5</v>
      </c>
      <c r="G19" s="13">
        <v>5</v>
      </c>
      <c r="H19" s="13">
        <v>5</v>
      </c>
      <c r="I19" s="28">
        <v>5.5</v>
      </c>
      <c r="J19" s="14">
        <f t="shared" si="0"/>
        <v>1.1000000000000001</v>
      </c>
      <c r="K19" s="53">
        <v>11</v>
      </c>
      <c r="L19" s="13">
        <f t="shared" si="1"/>
        <v>2.2000000000000002</v>
      </c>
      <c r="M19" s="13">
        <v>15</v>
      </c>
      <c r="N19" s="15">
        <f t="shared" si="2"/>
        <v>38.299999999999997</v>
      </c>
      <c r="O19" s="1"/>
      <c r="P19" s="1"/>
      <c r="Q19" s="1"/>
      <c r="R19" s="1"/>
      <c r="S19" s="1"/>
      <c r="T19" s="1"/>
    </row>
    <row r="20" spans="1:20" x14ac:dyDescent="0.25">
      <c r="A20" s="10">
        <v>18</v>
      </c>
      <c r="B20" s="13">
        <v>23031927</v>
      </c>
      <c r="C20" s="31" t="s">
        <v>34</v>
      </c>
      <c r="D20" s="12"/>
      <c r="E20" s="13">
        <v>5</v>
      </c>
      <c r="F20" s="13">
        <v>5</v>
      </c>
      <c r="G20" s="13">
        <v>5</v>
      </c>
      <c r="H20" s="13">
        <v>5</v>
      </c>
      <c r="I20" s="28">
        <v>27</v>
      </c>
      <c r="J20" s="14">
        <f t="shared" si="0"/>
        <v>5.4</v>
      </c>
      <c r="K20" s="53">
        <v>54</v>
      </c>
      <c r="L20" s="13">
        <f t="shared" si="1"/>
        <v>10.8</v>
      </c>
      <c r="M20" s="13">
        <v>9</v>
      </c>
      <c r="N20" s="15">
        <f t="shared" si="2"/>
        <v>45.2</v>
      </c>
      <c r="O20" s="1"/>
      <c r="P20" s="1"/>
      <c r="Q20" s="1"/>
      <c r="R20" s="1"/>
      <c r="S20" s="1"/>
      <c r="T20" s="1"/>
    </row>
    <row r="21" spans="1:20" x14ac:dyDescent="0.25">
      <c r="A21" s="10">
        <v>19</v>
      </c>
      <c r="B21" s="13">
        <v>23031928</v>
      </c>
      <c r="C21" s="31" t="s">
        <v>35</v>
      </c>
      <c r="D21" s="12"/>
      <c r="E21" s="13">
        <v>5</v>
      </c>
      <c r="F21" s="13">
        <v>5</v>
      </c>
      <c r="G21" s="13">
        <v>5</v>
      </c>
      <c r="H21" s="13">
        <v>5</v>
      </c>
      <c r="I21" s="28">
        <v>27</v>
      </c>
      <c r="J21" s="14">
        <f t="shared" si="0"/>
        <v>5.4</v>
      </c>
      <c r="K21" s="53">
        <v>54</v>
      </c>
      <c r="L21" s="13">
        <f t="shared" si="1"/>
        <v>10.8</v>
      </c>
      <c r="M21" s="13">
        <v>9</v>
      </c>
      <c r="N21" s="15">
        <f t="shared" si="2"/>
        <v>45.2</v>
      </c>
      <c r="O21" s="1"/>
      <c r="P21" s="1"/>
      <c r="Q21" s="1"/>
      <c r="R21" s="1"/>
      <c r="S21" s="1"/>
      <c r="T21" s="1"/>
    </row>
    <row r="22" spans="1:20" x14ac:dyDescent="0.25">
      <c r="A22" s="10">
        <v>20</v>
      </c>
      <c r="B22" s="13">
        <v>23031929</v>
      </c>
      <c r="C22" s="31" t="s">
        <v>36</v>
      </c>
      <c r="D22" s="12"/>
      <c r="E22" s="13">
        <v>5</v>
      </c>
      <c r="F22" s="13">
        <v>5</v>
      </c>
      <c r="G22" s="13">
        <v>5</v>
      </c>
      <c r="H22" s="13">
        <v>5</v>
      </c>
      <c r="I22" s="28">
        <v>7.5</v>
      </c>
      <c r="J22" s="14">
        <f t="shared" si="0"/>
        <v>1.5</v>
      </c>
      <c r="K22" s="55">
        <v>15</v>
      </c>
      <c r="L22" s="13">
        <f t="shared" si="1"/>
        <v>3</v>
      </c>
      <c r="M22" s="12">
        <v>12</v>
      </c>
      <c r="N22" s="15">
        <f t="shared" si="2"/>
        <v>36.5</v>
      </c>
      <c r="O22" s="1"/>
      <c r="P22" s="1"/>
      <c r="Q22" s="1"/>
      <c r="R22" s="1"/>
      <c r="S22" s="1"/>
      <c r="T22" s="1"/>
    </row>
    <row r="23" spans="1:20" x14ac:dyDescent="0.25">
      <c r="A23" s="10">
        <v>21</v>
      </c>
      <c r="B23" s="13">
        <v>23031930</v>
      </c>
      <c r="C23" s="31" t="s">
        <v>37</v>
      </c>
      <c r="D23" s="12"/>
      <c r="E23" s="13">
        <v>5</v>
      </c>
      <c r="F23" s="13">
        <v>5</v>
      </c>
      <c r="G23" s="13">
        <v>5</v>
      </c>
      <c r="H23" s="13">
        <v>5</v>
      </c>
      <c r="I23" s="28">
        <v>1.5</v>
      </c>
      <c r="J23" s="14">
        <f t="shared" si="0"/>
        <v>0.3</v>
      </c>
      <c r="K23" s="55">
        <v>3</v>
      </c>
      <c r="L23" s="13">
        <f t="shared" si="1"/>
        <v>0.6</v>
      </c>
      <c r="M23" s="12">
        <v>15</v>
      </c>
      <c r="N23" s="15">
        <f t="shared" si="2"/>
        <v>35.900000000000006</v>
      </c>
      <c r="O23" s="1"/>
      <c r="P23" s="1"/>
      <c r="Q23" s="1"/>
      <c r="R23" s="1"/>
      <c r="S23" s="1"/>
      <c r="T23" s="1"/>
    </row>
    <row r="24" spans="1:20" x14ac:dyDescent="0.25">
      <c r="A24" s="10">
        <v>22</v>
      </c>
      <c r="B24" s="13">
        <v>23031931</v>
      </c>
      <c r="C24" s="31" t="s">
        <v>38</v>
      </c>
      <c r="D24" s="12"/>
      <c r="E24" s="13">
        <v>5</v>
      </c>
      <c r="F24" s="13">
        <v>5</v>
      </c>
      <c r="G24" s="13">
        <v>5</v>
      </c>
      <c r="H24" s="13">
        <v>5</v>
      </c>
      <c r="I24" s="28">
        <v>11.5</v>
      </c>
      <c r="J24" s="14">
        <f t="shared" si="0"/>
        <v>2.2999999999999998</v>
      </c>
      <c r="K24" s="53">
        <v>23</v>
      </c>
      <c r="L24" s="13">
        <f t="shared" si="1"/>
        <v>4.5999999999999996</v>
      </c>
      <c r="M24" s="13">
        <v>15</v>
      </c>
      <c r="N24" s="15">
        <f t="shared" si="2"/>
        <v>41.9</v>
      </c>
      <c r="O24" s="1"/>
      <c r="P24" s="1"/>
      <c r="Q24" s="1"/>
      <c r="R24" s="1"/>
      <c r="S24" s="1"/>
      <c r="T24" s="1"/>
    </row>
    <row r="25" spans="1:20" x14ac:dyDescent="0.25">
      <c r="A25" s="10">
        <v>23</v>
      </c>
      <c r="B25" s="13">
        <v>23031932</v>
      </c>
      <c r="C25" s="31" t="s">
        <v>39</v>
      </c>
      <c r="D25" s="12"/>
      <c r="E25" s="13">
        <v>5</v>
      </c>
      <c r="F25" s="13">
        <v>5</v>
      </c>
      <c r="G25" s="13">
        <v>5</v>
      </c>
      <c r="H25" s="13">
        <v>5</v>
      </c>
      <c r="I25" s="29">
        <v>32.5</v>
      </c>
      <c r="J25" s="14">
        <f t="shared" si="0"/>
        <v>6.5</v>
      </c>
      <c r="K25" s="53">
        <v>65</v>
      </c>
      <c r="L25" s="13">
        <f t="shared" si="1"/>
        <v>13</v>
      </c>
      <c r="M25" s="13">
        <v>5</v>
      </c>
      <c r="N25" s="15">
        <f t="shared" si="2"/>
        <v>44.5</v>
      </c>
      <c r="O25" s="1"/>
      <c r="P25" s="1"/>
      <c r="Q25" s="1"/>
      <c r="R25" s="1"/>
      <c r="S25" s="1"/>
      <c r="T25" s="1"/>
    </row>
    <row r="26" spans="1:20" x14ac:dyDescent="0.25">
      <c r="A26" s="10">
        <v>24</v>
      </c>
      <c r="B26" s="13">
        <v>23031933</v>
      </c>
      <c r="C26" s="31" t="s">
        <v>40</v>
      </c>
      <c r="D26" s="12"/>
      <c r="E26" s="13">
        <v>5</v>
      </c>
      <c r="F26" s="13">
        <v>5</v>
      </c>
      <c r="G26" s="13">
        <v>5</v>
      </c>
      <c r="H26" s="13">
        <v>5</v>
      </c>
      <c r="I26" s="29">
        <v>40</v>
      </c>
      <c r="J26" s="14">
        <f t="shared" si="0"/>
        <v>8</v>
      </c>
      <c r="K26" s="28">
        <v>80</v>
      </c>
      <c r="L26" s="13">
        <f t="shared" si="1"/>
        <v>16</v>
      </c>
      <c r="M26" s="13">
        <v>2</v>
      </c>
      <c r="N26" s="15">
        <f t="shared" si="2"/>
        <v>46</v>
      </c>
      <c r="O26" s="1"/>
      <c r="P26" s="1"/>
      <c r="Q26" s="1"/>
      <c r="R26" s="1"/>
      <c r="S26" s="1"/>
      <c r="T26" s="1"/>
    </row>
    <row r="27" spans="1:20" x14ac:dyDescent="0.25">
      <c r="A27" s="10">
        <v>25</v>
      </c>
      <c r="B27" s="13">
        <v>23031934</v>
      </c>
      <c r="C27" s="31" t="s">
        <v>41</v>
      </c>
      <c r="D27" s="12"/>
      <c r="E27" s="13">
        <v>5</v>
      </c>
      <c r="F27" s="13">
        <v>5</v>
      </c>
      <c r="G27" s="13">
        <v>5</v>
      </c>
      <c r="H27" s="13">
        <v>5</v>
      </c>
      <c r="I27" s="28">
        <v>32.5</v>
      </c>
      <c r="J27" s="14">
        <f t="shared" si="0"/>
        <v>6.5</v>
      </c>
      <c r="K27" s="53">
        <v>65</v>
      </c>
      <c r="L27" s="13">
        <f t="shared" si="1"/>
        <v>13</v>
      </c>
      <c r="M27" s="13">
        <v>5</v>
      </c>
      <c r="N27" s="15">
        <f t="shared" si="2"/>
        <v>44.5</v>
      </c>
      <c r="O27" s="1"/>
      <c r="P27" s="1"/>
      <c r="Q27" s="1"/>
      <c r="R27" s="1"/>
      <c r="S27" s="1"/>
      <c r="T27" s="1"/>
    </row>
    <row r="28" spans="1:20" x14ac:dyDescent="0.25">
      <c r="A28" s="10">
        <v>26</v>
      </c>
      <c r="B28" s="13">
        <v>23031935</v>
      </c>
      <c r="C28" s="31" t="s">
        <v>42</v>
      </c>
      <c r="D28" s="12"/>
      <c r="E28" s="13">
        <v>5</v>
      </c>
      <c r="F28" s="13">
        <v>5</v>
      </c>
      <c r="G28" s="13">
        <v>5</v>
      </c>
      <c r="H28" s="13">
        <v>5</v>
      </c>
      <c r="I28" s="28">
        <v>28.5</v>
      </c>
      <c r="J28" s="14">
        <f t="shared" si="0"/>
        <v>5.7</v>
      </c>
      <c r="K28" s="53">
        <v>57</v>
      </c>
      <c r="L28" s="13">
        <f t="shared" si="1"/>
        <v>11.4</v>
      </c>
      <c r="M28" s="13">
        <v>8</v>
      </c>
      <c r="N28" s="15">
        <f t="shared" si="2"/>
        <v>45.1</v>
      </c>
      <c r="O28" s="1"/>
      <c r="P28" s="1"/>
      <c r="Q28" s="1"/>
      <c r="R28" s="1"/>
      <c r="S28" s="1"/>
      <c r="T28" s="1"/>
    </row>
    <row r="29" spans="1:20" x14ac:dyDescent="0.25">
      <c r="A29" s="10">
        <v>27</v>
      </c>
      <c r="B29" s="34">
        <v>23031936</v>
      </c>
      <c r="C29" s="47" t="s">
        <v>43</v>
      </c>
      <c r="D29" s="12"/>
      <c r="E29" s="13">
        <v>5</v>
      </c>
      <c r="F29" s="13">
        <v>5</v>
      </c>
      <c r="G29" s="13">
        <v>5</v>
      </c>
      <c r="H29" s="13">
        <v>5</v>
      </c>
      <c r="I29" s="28">
        <v>40</v>
      </c>
      <c r="J29" s="14">
        <f t="shared" si="0"/>
        <v>8</v>
      </c>
      <c r="K29" s="28">
        <v>80</v>
      </c>
      <c r="L29" s="13">
        <f t="shared" si="1"/>
        <v>16</v>
      </c>
      <c r="M29" s="13">
        <v>2</v>
      </c>
      <c r="N29" s="15">
        <f t="shared" si="2"/>
        <v>46</v>
      </c>
      <c r="O29" s="1"/>
      <c r="P29" s="1"/>
      <c r="Q29" s="1"/>
      <c r="R29" s="1"/>
      <c r="S29" s="1"/>
      <c r="T29" s="1"/>
    </row>
    <row r="30" spans="1:20" x14ac:dyDescent="0.25">
      <c r="A30" s="10">
        <v>28</v>
      </c>
      <c r="B30" s="13">
        <v>23031937</v>
      </c>
      <c r="C30" s="31" t="s">
        <v>44</v>
      </c>
      <c r="D30" s="12"/>
      <c r="E30" s="13">
        <v>5</v>
      </c>
      <c r="F30" s="13">
        <v>5</v>
      </c>
      <c r="G30" s="13">
        <v>5</v>
      </c>
      <c r="H30" s="13">
        <v>5</v>
      </c>
      <c r="I30" s="28">
        <v>7.5</v>
      </c>
      <c r="J30" s="14">
        <f t="shared" si="0"/>
        <v>1.5</v>
      </c>
      <c r="K30" s="28">
        <v>15</v>
      </c>
      <c r="L30" s="13">
        <f t="shared" si="1"/>
        <v>3</v>
      </c>
      <c r="M30" s="13">
        <v>13</v>
      </c>
      <c r="N30" s="15">
        <f t="shared" si="2"/>
        <v>37.5</v>
      </c>
      <c r="O30" s="1"/>
      <c r="P30" s="1"/>
      <c r="Q30" s="1"/>
      <c r="R30" s="1"/>
      <c r="S30" s="1"/>
      <c r="T30" s="1"/>
    </row>
    <row r="31" spans="1:20" hidden="1" x14ac:dyDescent="0.25">
      <c r="A31" s="10">
        <v>29</v>
      </c>
      <c r="B31" s="32"/>
      <c r="C31" s="33"/>
      <c r="D31" s="12"/>
      <c r="E31" s="13">
        <v>5</v>
      </c>
      <c r="F31" s="13">
        <v>5</v>
      </c>
      <c r="G31" s="13">
        <v>5</v>
      </c>
      <c r="H31" s="13">
        <v>2</v>
      </c>
      <c r="I31" s="28"/>
      <c r="J31" s="14">
        <f t="shared" si="0"/>
        <v>0</v>
      </c>
      <c r="K31" s="24"/>
      <c r="L31" s="13">
        <f t="shared" ref="L31:L54" si="3">K31/4</f>
        <v>0</v>
      </c>
      <c r="M31" s="13"/>
      <c r="N31" s="15">
        <f t="shared" si="2"/>
        <v>17</v>
      </c>
      <c r="O31" s="1"/>
      <c r="P31" s="1"/>
      <c r="Q31" s="1"/>
      <c r="R31" s="1"/>
      <c r="S31" s="1"/>
      <c r="T31" s="1"/>
    </row>
    <row r="32" spans="1:20" hidden="1" x14ac:dyDescent="0.25">
      <c r="A32" s="10">
        <v>30</v>
      </c>
      <c r="B32" s="32"/>
      <c r="C32" s="33"/>
      <c r="D32" s="12"/>
      <c r="E32" s="13">
        <v>5</v>
      </c>
      <c r="F32" s="13">
        <v>5</v>
      </c>
      <c r="G32" s="13">
        <v>5</v>
      </c>
      <c r="H32" s="13">
        <v>2</v>
      </c>
      <c r="I32" s="28"/>
      <c r="J32" s="14">
        <f t="shared" si="0"/>
        <v>0</v>
      </c>
      <c r="K32" s="24"/>
      <c r="L32" s="13">
        <f t="shared" si="3"/>
        <v>0</v>
      </c>
      <c r="M32" s="13"/>
      <c r="N32" s="15">
        <f t="shared" si="2"/>
        <v>17</v>
      </c>
      <c r="O32" s="1"/>
      <c r="P32" s="1"/>
      <c r="Q32" s="1"/>
      <c r="R32" s="1"/>
      <c r="S32" s="1"/>
      <c r="T32" s="1"/>
    </row>
    <row r="33" spans="1:20" hidden="1" x14ac:dyDescent="0.25">
      <c r="A33" s="10">
        <v>31</v>
      </c>
      <c r="B33" s="32"/>
      <c r="C33" s="33"/>
      <c r="D33" s="12"/>
      <c r="E33" s="13">
        <v>5</v>
      </c>
      <c r="F33" s="13">
        <v>5</v>
      </c>
      <c r="G33" s="13">
        <v>5</v>
      </c>
      <c r="H33" s="13">
        <v>2</v>
      </c>
      <c r="I33" s="28"/>
      <c r="J33" s="14">
        <f t="shared" si="0"/>
        <v>0</v>
      </c>
      <c r="K33" s="20"/>
      <c r="L33" s="13">
        <f t="shared" si="3"/>
        <v>0</v>
      </c>
      <c r="M33" s="13"/>
      <c r="N33" s="15">
        <f t="shared" si="2"/>
        <v>17</v>
      </c>
      <c r="O33" s="1"/>
      <c r="P33" s="1"/>
      <c r="Q33" s="1"/>
      <c r="R33" s="1"/>
      <c r="S33" s="1"/>
      <c r="T33" s="1"/>
    </row>
    <row r="34" spans="1:20" hidden="1" x14ac:dyDescent="0.25">
      <c r="A34" s="10">
        <v>32</v>
      </c>
      <c r="B34" s="32"/>
      <c r="C34" s="33"/>
      <c r="D34" s="12"/>
      <c r="E34" s="13">
        <v>5</v>
      </c>
      <c r="F34" s="13">
        <v>5</v>
      </c>
      <c r="G34" s="13">
        <v>5</v>
      </c>
      <c r="H34" s="13">
        <v>2</v>
      </c>
      <c r="I34" s="30"/>
      <c r="J34" s="14">
        <f t="shared" si="0"/>
        <v>0</v>
      </c>
      <c r="K34" s="14"/>
      <c r="L34" s="13">
        <f t="shared" si="3"/>
        <v>0</v>
      </c>
      <c r="M34" s="13"/>
      <c r="N34" s="15">
        <f t="shared" si="2"/>
        <v>17</v>
      </c>
      <c r="O34" s="1"/>
      <c r="P34" s="1"/>
      <c r="Q34" s="1"/>
      <c r="R34" s="1"/>
      <c r="S34" s="1"/>
      <c r="T34" s="1"/>
    </row>
    <row r="35" spans="1:20" hidden="1" x14ac:dyDescent="0.25">
      <c r="A35" s="10">
        <v>33</v>
      </c>
      <c r="B35" s="32"/>
      <c r="C35" s="33"/>
      <c r="D35" s="12"/>
      <c r="E35" s="13">
        <v>5</v>
      </c>
      <c r="F35" s="13">
        <v>5</v>
      </c>
      <c r="G35" s="13">
        <v>5</v>
      </c>
      <c r="H35" s="13">
        <v>2</v>
      </c>
      <c r="I35" s="28"/>
      <c r="J35" s="14">
        <f t="shared" si="0"/>
        <v>0</v>
      </c>
      <c r="K35" s="11"/>
      <c r="L35" s="13">
        <f t="shared" si="3"/>
        <v>0</v>
      </c>
      <c r="M35" s="13"/>
      <c r="N35" s="15">
        <f t="shared" si="2"/>
        <v>17</v>
      </c>
      <c r="O35" s="1"/>
      <c r="P35" s="1"/>
      <c r="Q35" s="1"/>
      <c r="R35" s="1"/>
      <c r="S35" s="1"/>
      <c r="T35" s="1"/>
    </row>
    <row r="36" spans="1:20" hidden="1" x14ac:dyDescent="0.25">
      <c r="A36" s="10">
        <v>34</v>
      </c>
      <c r="B36" s="32"/>
      <c r="C36" s="33"/>
      <c r="D36" s="12"/>
      <c r="E36" s="13">
        <v>5</v>
      </c>
      <c r="F36" s="13">
        <v>5</v>
      </c>
      <c r="G36" s="13">
        <v>5</v>
      </c>
      <c r="H36" s="13">
        <v>2</v>
      </c>
      <c r="I36" s="28"/>
      <c r="J36" s="14">
        <f t="shared" si="0"/>
        <v>0</v>
      </c>
      <c r="K36" s="11"/>
      <c r="L36" s="13">
        <f t="shared" si="3"/>
        <v>0</v>
      </c>
      <c r="M36" s="13"/>
      <c r="N36" s="15">
        <f t="shared" si="2"/>
        <v>17</v>
      </c>
      <c r="O36" s="1"/>
      <c r="P36" s="1"/>
      <c r="Q36" s="1"/>
      <c r="R36" s="1"/>
      <c r="S36" s="1"/>
      <c r="T36" s="1"/>
    </row>
    <row r="37" spans="1:20" hidden="1" x14ac:dyDescent="0.25">
      <c r="A37" s="10">
        <v>35</v>
      </c>
      <c r="B37" s="32"/>
      <c r="C37" s="33"/>
      <c r="D37" s="12"/>
      <c r="E37" s="13">
        <v>5</v>
      </c>
      <c r="F37" s="13">
        <v>5</v>
      </c>
      <c r="G37" s="13">
        <v>5</v>
      </c>
      <c r="H37" s="13">
        <v>2</v>
      </c>
      <c r="I37" s="13"/>
      <c r="J37" s="14">
        <f t="shared" si="0"/>
        <v>0</v>
      </c>
      <c r="K37" s="11"/>
      <c r="L37" s="13">
        <f t="shared" si="3"/>
        <v>0</v>
      </c>
      <c r="M37" s="13"/>
      <c r="N37" s="15">
        <f t="shared" si="2"/>
        <v>17</v>
      </c>
      <c r="O37" s="1"/>
      <c r="P37" s="1"/>
      <c r="Q37" s="1"/>
      <c r="R37" s="1"/>
      <c r="S37" s="1"/>
      <c r="T37" s="1"/>
    </row>
    <row r="38" spans="1:20" hidden="1" x14ac:dyDescent="0.25">
      <c r="A38" s="10">
        <v>36</v>
      </c>
      <c r="B38" s="32"/>
      <c r="C38" s="33"/>
      <c r="D38" s="12"/>
      <c r="E38" s="13">
        <v>5</v>
      </c>
      <c r="F38" s="13">
        <v>5</v>
      </c>
      <c r="G38" s="13">
        <v>5</v>
      </c>
      <c r="H38" s="13">
        <v>2</v>
      </c>
      <c r="I38" s="28"/>
      <c r="J38" s="14">
        <f t="shared" si="0"/>
        <v>0</v>
      </c>
      <c r="K38" s="11"/>
      <c r="L38" s="13">
        <f t="shared" si="3"/>
        <v>0</v>
      </c>
      <c r="M38" s="13"/>
      <c r="N38" s="15">
        <f t="shared" si="2"/>
        <v>17</v>
      </c>
      <c r="O38" s="1"/>
      <c r="P38" s="1"/>
      <c r="Q38" s="1"/>
      <c r="R38" s="1"/>
      <c r="S38" s="1"/>
      <c r="T38" s="1"/>
    </row>
    <row r="39" spans="1:20" hidden="1" x14ac:dyDescent="0.25">
      <c r="A39" s="10">
        <v>37</v>
      </c>
      <c r="B39" s="32"/>
      <c r="C39" s="33"/>
      <c r="D39" s="12"/>
      <c r="E39" s="13">
        <v>5</v>
      </c>
      <c r="F39" s="13">
        <v>5</v>
      </c>
      <c r="G39" s="13">
        <v>5</v>
      </c>
      <c r="H39" s="13">
        <v>2</v>
      </c>
      <c r="I39" s="28"/>
      <c r="J39" s="14">
        <f t="shared" si="0"/>
        <v>0</v>
      </c>
      <c r="K39" s="11"/>
      <c r="L39" s="13">
        <f t="shared" si="3"/>
        <v>0</v>
      </c>
      <c r="M39" s="13"/>
      <c r="N39" s="15">
        <f t="shared" si="2"/>
        <v>17</v>
      </c>
      <c r="O39" s="1"/>
      <c r="P39" s="1"/>
      <c r="Q39" s="1"/>
      <c r="R39" s="1"/>
      <c r="S39" s="1"/>
      <c r="T39" s="1"/>
    </row>
    <row r="40" spans="1:20" hidden="1" x14ac:dyDescent="0.25">
      <c r="A40" s="10">
        <v>38</v>
      </c>
      <c r="B40" s="32"/>
      <c r="C40" s="33"/>
      <c r="D40" s="11"/>
      <c r="E40" s="13">
        <v>5</v>
      </c>
      <c r="F40" s="13">
        <v>5</v>
      </c>
      <c r="G40" s="13">
        <v>5</v>
      </c>
      <c r="H40" s="13">
        <v>2</v>
      </c>
      <c r="I40" s="28"/>
      <c r="J40" s="14">
        <f t="shared" si="0"/>
        <v>0</v>
      </c>
      <c r="K40" s="11"/>
      <c r="L40" s="13">
        <f t="shared" si="3"/>
        <v>0</v>
      </c>
      <c r="M40" s="13"/>
      <c r="N40" s="15">
        <f t="shared" si="2"/>
        <v>17</v>
      </c>
      <c r="O40" s="1"/>
      <c r="P40" s="1"/>
      <c r="Q40" s="1"/>
      <c r="R40" s="1"/>
      <c r="S40" s="1"/>
      <c r="T40" s="1"/>
    </row>
    <row r="41" spans="1:20" hidden="1" x14ac:dyDescent="0.25">
      <c r="A41" s="10">
        <v>39</v>
      </c>
      <c r="B41" s="32"/>
      <c r="C41" s="33"/>
      <c r="D41" s="11"/>
      <c r="E41" s="13">
        <v>5</v>
      </c>
      <c r="F41" s="13">
        <v>5</v>
      </c>
      <c r="G41" s="13">
        <v>5</v>
      </c>
      <c r="H41" s="13">
        <v>2</v>
      </c>
      <c r="I41" s="28"/>
      <c r="J41" s="14">
        <f t="shared" si="0"/>
        <v>0</v>
      </c>
      <c r="K41" s="11"/>
      <c r="L41" s="13">
        <f t="shared" si="3"/>
        <v>0</v>
      </c>
      <c r="M41" s="13"/>
      <c r="N41" s="15">
        <f t="shared" si="2"/>
        <v>17</v>
      </c>
      <c r="O41" s="1"/>
      <c r="P41" s="1"/>
      <c r="Q41" s="1"/>
      <c r="R41" s="1"/>
      <c r="S41" s="1"/>
      <c r="T41" s="1"/>
    </row>
    <row r="42" spans="1:20" hidden="1" x14ac:dyDescent="0.25">
      <c r="A42" s="10">
        <v>40</v>
      </c>
      <c r="B42" s="32"/>
      <c r="C42" s="33"/>
      <c r="D42" s="11"/>
      <c r="E42" s="13">
        <v>5</v>
      </c>
      <c r="F42" s="13">
        <v>5</v>
      </c>
      <c r="G42" s="13">
        <v>5</v>
      </c>
      <c r="H42" s="13">
        <v>2</v>
      </c>
      <c r="I42" s="13"/>
      <c r="J42" s="14">
        <f t="shared" si="0"/>
        <v>0</v>
      </c>
      <c r="K42" s="11"/>
      <c r="L42" s="13">
        <f t="shared" si="3"/>
        <v>0</v>
      </c>
      <c r="M42" s="13"/>
      <c r="N42" s="15">
        <f t="shared" si="2"/>
        <v>17</v>
      </c>
      <c r="O42" s="1"/>
      <c r="P42" s="1"/>
      <c r="Q42" s="1"/>
      <c r="R42" s="1"/>
      <c r="S42" s="1"/>
      <c r="T42" s="1"/>
    </row>
    <row r="43" spans="1:20" hidden="1" x14ac:dyDescent="0.25">
      <c r="A43" s="10">
        <v>41</v>
      </c>
      <c r="B43" s="32"/>
      <c r="C43" s="33"/>
      <c r="D43" s="11"/>
      <c r="E43" s="13">
        <v>5</v>
      </c>
      <c r="F43" s="13">
        <v>5</v>
      </c>
      <c r="G43" s="13">
        <v>5</v>
      </c>
      <c r="H43" s="13">
        <v>2</v>
      </c>
      <c r="I43" s="28"/>
      <c r="J43" s="14">
        <f t="shared" si="0"/>
        <v>0</v>
      </c>
      <c r="K43" s="11"/>
      <c r="L43" s="13">
        <f t="shared" si="3"/>
        <v>0</v>
      </c>
      <c r="M43" s="13"/>
      <c r="N43" s="15">
        <f t="shared" si="2"/>
        <v>17</v>
      </c>
      <c r="O43" s="1"/>
      <c r="P43" s="1"/>
      <c r="Q43" s="1"/>
      <c r="R43" s="1"/>
      <c r="S43" s="1"/>
      <c r="T43" s="1"/>
    </row>
    <row r="44" spans="1:20" hidden="1" x14ac:dyDescent="0.25">
      <c r="A44" s="10">
        <v>42</v>
      </c>
      <c r="B44" s="32"/>
      <c r="C44" s="33"/>
      <c r="D44" s="11"/>
      <c r="E44" s="13">
        <v>5</v>
      </c>
      <c r="F44" s="13">
        <v>5</v>
      </c>
      <c r="G44" s="13">
        <v>5</v>
      </c>
      <c r="H44" s="13">
        <v>2</v>
      </c>
      <c r="I44" s="28"/>
      <c r="J44" s="14">
        <f t="shared" si="0"/>
        <v>0</v>
      </c>
      <c r="K44" s="11"/>
      <c r="L44" s="13">
        <f t="shared" si="3"/>
        <v>0</v>
      </c>
      <c r="M44" s="13"/>
      <c r="N44" s="15">
        <f t="shared" si="2"/>
        <v>17</v>
      </c>
      <c r="O44" s="1"/>
      <c r="P44" s="1"/>
      <c r="Q44" s="1"/>
      <c r="R44" s="1"/>
      <c r="S44" s="1"/>
      <c r="T44" s="1"/>
    </row>
    <row r="45" spans="1:20" hidden="1" x14ac:dyDescent="0.25">
      <c r="A45" s="10">
        <v>43</v>
      </c>
      <c r="B45" s="32"/>
      <c r="C45" s="33"/>
      <c r="D45" s="11"/>
      <c r="E45" s="13">
        <v>5</v>
      </c>
      <c r="F45" s="13">
        <v>5</v>
      </c>
      <c r="G45" s="13">
        <v>5</v>
      </c>
      <c r="H45" s="13">
        <v>2</v>
      </c>
      <c r="I45" s="26"/>
      <c r="J45" s="14">
        <f t="shared" si="0"/>
        <v>0</v>
      </c>
      <c r="K45" s="11"/>
      <c r="L45" s="13">
        <f t="shared" si="3"/>
        <v>0</v>
      </c>
      <c r="M45" s="13"/>
      <c r="N45" s="15">
        <f t="shared" si="2"/>
        <v>17</v>
      </c>
      <c r="O45" s="1"/>
      <c r="P45" s="1"/>
      <c r="Q45" s="1"/>
      <c r="R45" s="1"/>
      <c r="S45" s="1"/>
      <c r="T45" s="1"/>
    </row>
    <row r="46" spans="1:20" hidden="1" x14ac:dyDescent="0.25">
      <c r="A46" s="10">
        <v>44</v>
      </c>
      <c r="B46" s="32"/>
      <c r="C46" s="33"/>
      <c r="D46" s="11"/>
      <c r="E46" s="13">
        <v>5</v>
      </c>
      <c r="F46" s="13">
        <v>5</v>
      </c>
      <c r="G46" s="13">
        <v>5</v>
      </c>
      <c r="H46" s="13">
        <v>2</v>
      </c>
      <c r="I46" s="11"/>
      <c r="J46" s="14">
        <f t="shared" si="0"/>
        <v>0</v>
      </c>
      <c r="K46" s="11"/>
      <c r="L46" s="13">
        <f t="shared" si="3"/>
        <v>0</v>
      </c>
      <c r="M46" s="13"/>
      <c r="N46" s="15">
        <f t="shared" si="2"/>
        <v>17</v>
      </c>
      <c r="O46" s="1"/>
      <c r="P46" s="1"/>
      <c r="Q46" s="1"/>
      <c r="R46" s="1"/>
      <c r="S46" s="1"/>
      <c r="T46" s="1"/>
    </row>
    <row r="47" spans="1:20" hidden="1" x14ac:dyDescent="0.25">
      <c r="A47" s="10">
        <v>45</v>
      </c>
      <c r="B47" s="32"/>
      <c r="C47" s="33"/>
      <c r="D47" s="11"/>
      <c r="E47" s="13">
        <v>5</v>
      </c>
      <c r="F47" s="13">
        <v>5</v>
      </c>
      <c r="G47" s="13">
        <v>5</v>
      </c>
      <c r="H47" s="13">
        <v>2</v>
      </c>
      <c r="I47" s="11"/>
      <c r="J47" s="14">
        <f t="shared" si="0"/>
        <v>0</v>
      </c>
      <c r="K47" s="11"/>
      <c r="L47" s="13">
        <f t="shared" si="3"/>
        <v>0</v>
      </c>
      <c r="M47" s="13"/>
      <c r="N47" s="15">
        <f t="shared" si="2"/>
        <v>17</v>
      </c>
      <c r="O47" s="1"/>
      <c r="P47" s="1"/>
      <c r="Q47" s="1"/>
      <c r="R47" s="1"/>
      <c r="S47" s="1"/>
      <c r="T47" s="1"/>
    </row>
    <row r="48" spans="1:20" hidden="1" x14ac:dyDescent="0.25">
      <c r="A48" s="10">
        <v>46</v>
      </c>
      <c r="B48" s="32"/>
      <c r="C48" s="33"/>
      <c r="D48" s="11"/>
      <c r="E48" s="13">
        <v>5</v>
      </c>
      <c r="F48" s="13">
        <v>5</v>
      </c>
      <c r="G48" s="13">
        <v>5</v>
      </c>
      <c r="H48" s="13">
        <v>2</v>
      </c>
      <c r="I48" s="11"/>
      <c r="J48" s="14">
        <f t="shared" si="0"/>
        <v>0</v>
      </c>
      <c r="K48" s="11"/>
      <c r="L48" s="13">
        <f t="shared" si="3"/>
        <v>0</v>
      </c>
      <c r="M48" s="13"/>
      <c r="N48" s="15">
        <f t="shared" si="2"/>
        <v>17</v>
      </c>
      <c r="O48" s="1"/>
      <c r="P48" s="1"/>
      <c r="Q48" s="1"/>
      <c r="R48" s="1"/>
      <c r="S48" s="1"/>
      <c r="T48" s="1"/>
    </row>
    <row r="49" spans="1:20" hidden="1" x14ac:dyDescent="0.25">
      <c r="A49" s="10">
        <v>47</v>
      </c>
      <c r="B49" s="32"/>
      <c r="C49" s="33"/>
      <c r="D49" s="11"/>
      <c r="E49" s="13">
        <v>5</v>
      </c>
      <c r="F49" s="13">
        <v>5</v>
      </c>
      <c r="G49" s="13">
        <v>5</v>
      </c>
      <c r="H49" s="13">
        <v>2</v>
      </c>
      <c r="I49" s="11"/>
      <c r="J49" s="14">
        <f t="shared" si="0"/>
        <v>0</v>
      </c>
      <c r="K49" s="11"/>
      <c r="L49" s="13">
        <f t="shared" si="3"/>
        <v>0</v>
      </c>
      <c r="M49" s="13"/>
      <c r="N49" s="15">
        <f t="shared" si="2"/>
        <v>17</v>
      </c>
      <c r="O49" s="1"/>
      <c r="P49" s="1"/>
      <c r="Q49" s="1"/>
      <c r="R49" s="1"/>
      <c r="S49" s="1"/>
      <c r="T49" s="1"/>
    </row>
    <row r="50" spans="1:20" hidden="1" x14ac:dyDescent="0.25">
      <c r="A50" s="10">
        <v>48</v>
      </c>
      <c r="B50" s="32"/>
      <c r="C50" s="33"/>
      <c r="D50" s="11"/>
      <c r="E50" s="13">
        <v>5</v>
      </c>
      <c r="F50" s="13">
        <v>5</v>
      </c>
      <c r="G50" s="13">
        <v>5</v>
      </c>
      <c r="H50" s="13">
        <v>2</v>
      </c>
      <c r="I50" s="11"/>
      <c r="J50" s="14">
        <f t="shared" si="0"/>
        <v>0</v>
      </c>
      <c r="K50" s="11"/>
      <c r="L50" s="13">
        <f t="shared" si="3"/>
        <v>0</v>
      </c>
      <c r="M50" s="13"/>
      <c r="N50" s="15">
        <f t="shared" si="2"/>
        <v>17</v>
      </c>
      <c r="O50" s="1"/>
      <c r="P50" s="1"/>
      <c r="Q50" s="1"/>
      <c r="R50" s="1"/>
      <c r="S50" s="1"/>
      <c r="T50" s="1"/>
    </row>
    <row r="51" spans="1:20" hidden="1" x14ac:dyDescent="0.25">
      <c r="A51" s="10">
        <v>49</v>
      </c>
      <c r="B51" s="32"/>
      <c r="C51" s="33"/>
      <c r="D51" s="11"/>
      <c r="E51" s="13">
        <v>5</v>
      </c>
      <c r="F51" s="13">
        <v>5</v>
      </c>
      <c r="G51" s="13">
        <v>5</v>
      </c>
      <c r="H51" s="13">
        <v>2</v>
      </c>
      <c r="I51" s="26"/>
      <c r="J51" s="14">
        <f t="shared" si="0"/>
        <v>0</v>
      </c>
      <c r="K51" s="11"/>
      <c r="L51" s="13">
        <f t="shared" si="3"/>
        <v>0</v>
      </c>
      <c r="M51" s="13"/>
      <c r="N51" s="15">
        <f t="shared" si="2"/>
        <v>17</v>
      </c>
      <c r="O51" s="1"/>
      <c r="P51" s="1"/>
      <c r="Q51" s="1"/>
      <c r="R51" s="1"/>
      <c r="S51" s="1"/>
      <c r="T51" s="1"/>
    </row>
    <row r="52" spans="1:20" hidden="1" x14ac:dyDescent="0.25">
      <c r="A52" s="10">
        <v>50</v>
      </c>
      <c r="B52" s="32"/>
      <c r="C52" s="33"/>
      <c r="D52" s="11"/>
      <c r="E52" s="13">
        <v>5</v>
      </c>
      <c r="F52" s="13">
        <v>5</v>
      </c>
      <c r="G52" s="13">
        <v>5</v>
      </c>
      <c r="H52" s="13">
        <v>2</v>
      </c>
      <c r="I52" s="26"/>
      <c r="J52" s="14">
        <f t="shared" si="0"/>
        <v>0</v>
      </c>
      <c r="K52" s="11"/>
      <c r="L52" s="13">
        <f t="shared" si="3"/>
        <v>0</v>
      </c>
      <c r="M52" s="13"/>
      <c r="N52" s="15">
        <f t="shared" si="2"/>
        <v>17</v>
      </c>
      <c r="O52" s="1"/>
      <c r="P52" s="1"/>
      <c r="Q52" s="1"/>
      <c r="R52" s="1"/>
      <c r="S52" s="1"/>
      <c r="T52" s="1"/>
    </row>
    <row r="53" spans="1:20" hidden="1" x14ac:dyDescent="0.25">
      <c r="A53" s="10">
        <v>51</v>
      </c>
      <c r="B53" s="32"/>
      <c r="C53" s="33"/>
      <c r="D53" s="11"/>
      <c r="E53" s="13">
        <v>5</v>
      </c>
      <c r="F53" s="13">
        <v>5</v>
      </c>
      <c r="G53" s="13">
        <v>5</v>
      </c>
      <c r="H53" s="13">
        <v>2</v>
      </c>
      <c r="I53" s="26"/>
      <c r="J53" s="14">
        <f t="shared" si="0"/>
        <v>0</v>
      </c>
      <c r="K53" s="11"/>
      <c r="L53" s="13">
        <f t="shared" si="3"/>
        <v>0</v>
      </c>
      <c r="M53" s="13"/>
      <c r="N53" s="15">
        <f t="shared" si="2"/>
        <v>17</v>
      </c>
      <c r="O53" s="1"/>
      <c r="P53" s="1"/>
      <c r="Q53" s="1"/>
      <c r="R53" s="1"/>
      <c r="S53" s="1"/>
      <c r="T53" s="1"/>
    </row>
    <row r="54" spans="1:20" hidden="1" x14ac:dyDescent="0.25">
      <c r="A54" s="10">
        <v>52</v>
      </c>
      <c r="B54" s="32"/>
      <c r="C54" s="33"/>
      <c r="D54" s="11"/>
      <c r="E54" s="13">
        <v>5</v>
      </c>
      <c r="F54" s="13">
        <v>5</v>
      </c>
      <c r="G54" s="13">
        <v>5</v>
      </c>
      <c r="H54" s="13">
        <v>2</v>
      </c>
      <c r="I54" s="26"/>
      <c r="J54" s="14">
        <f t="shared" si="0"/>
        <v>0</v>
      </c>
      <c r="K54" s="11"/>
      <c r="L54" s="13">
        <f t="shared" si="3"/>
        <v>0</v>
      </c>
      <c r="M54" s="13"/>
      <c r="N54" s="15">
        <f t="shared" si="2"/>
        <v>17</v>
      </c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6" t="s">
        <v>17</v>
      </c>
      <c r="M57" s="56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6" t="s">
        <v>18</v>
      </c>
      <c r="M58" s="56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</sheetData>
  <mergeCells count="7">
    <mergeCell ref="L57:M57"/>
    <mergeCell ref="L58:M58"/>
    <mergeCell ref="A1:N1"/>
    <mergeCell ref="A2:N2"/>
    <mergeCell ref="A3:N3"/>
    <mergeCell ref="A4:B4"/>
    <mergeCell ref="C4:E4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1"/>
  <sheetViews>
    <sheetView workbookViewId="0">
      <selection activeCell="M10" sqref="M10"/>
    </sheetView>
  </sheetViews>
  <sheetFormatPr defaultRowHeight="15" x14ac:dyDescent="0.25"/>
  <cols>
    <col min="1" max="1" width="4.42578125" customWidth="1"/>
    <col min="2" max="2" width="12.28515625" customWidth="1"/>
    <col min="3" max="3" width="29.42578125" customWidth="1"/>
    <col min="4" max="4" width="16.5703125" customWidth="1"/>
    <col min="5" max="5" width="20.85546875" customWidth="1"/>
    <col min="6" max="6" width="12.28515625" customWidth="1"/>
    <col min="7" max="7" width="11.42578125" customWidth="1"/>
    <col min="8" max="8" width="12" customWidth="1"/>
    <col min="9" max="9" width="15" customWidth="1"/>
    <col min="10" max="10" width="9.140625" customWidth="1"/>
    <col min="11" max="11" width="12.42578125" customWidth="1"/>
    <col min="12" max="12" width="13.42578125" customWidth="1"/>
    <col min="13" max="13" width="10.85546875" customWidth="1"/>
    <col min="14" max="14" width="10.7109375" customWidth="1"/>
  </cols>
  <sheetData>
    <row r="1" spans="1:16" ht="16.5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1"/>
      <c r="P1" s="1"/>
    </row>
    <row r="2" spans="1:16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"/>
      <c r="P2" s="1"/>
    </row>
    <row r="3" spans="1:16" ht="19.5" x14ac:dyDescent="0.3">
      <c r="A3" s="59" t="s">
        <v>45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1"/>
      <c r="P3" s="1"/>
    </row>
    <row r="4" spans="1:16" ht="16.5" thickBot="1" x14ac:dyDescent="0.3">
      <c r="A4" s="60" t="s">
        <v>19</v>
      </c>
      <c r="B4" s="61"/>
      <c r="C4" s="62" t="s">
        <v>46</v>
      </c>
      <c r="D4" s="63"/>
      <c r="E4" s="63"/>
      <c r="F4" s="2" t="s">
        <v>50</v>
      </c>
      <c r="G4" s="3"/>
      <c r="H4" s="4"/>
      <c r="I4" s="3"/>
      <c r="J4" s="3"/>
      <c r="K4" s="3"/>
      <c r="L4" s="5" t="s">
        <v>2</v>
      </c>
      <c r="M4" s="3"/>
      <c r="N4" s="3"/>
      <c r="O4" s="1"/>
      <c r="P4" s="1"/>
    </row>
    <row r="5" spans="1:16" ht="53.25" customHeight="1" thickBot="1" x14ac:dyDescent="0.3">
      <c r="A5" s="6" t="s">
        <v>3</v>
      </c>
      <c r="B5" s="7" t="s">
        <v>4</v>
      </c>
      <c r="C5" s="8" t="s">
        <v>5</v>
      </c>
      <c r="D5" s="9" t="s">
        <v>48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6" t="s">
        <v>12</v>
      </c>
      <c r="K5" s="18" t="s">
        <v>13</v>
      </c>
      <c r="L5" s="17" t="s">
        <v>14</v>
      </c>
      <c r="M5" s="9" t="s">
        <v>15</v>
      </c>
      <c r="N5" s="9" t="s">
        <v>16</v>
      </c>
      <c r="O5" s="1"/>
      <c r="P5" s="1"/>
    </row>
    <row r="6" spans="1:16" x14ac:dyDescent="0.25">
      <c r="A6" s="10">
        <v>1</v>
      </c>
      <c r="B6" s="13">
        <v>23031910</v>
      </c>
      <c r="C6" s="31" t="s">
        <v>20</v>
      </c>
      <c r="D6" s="12"/>
      <c r="E6" s="13">
        <v>3</v>
      </c>
      <c r="F6" s="13">
        <v>5</v>
      </c>
      <c r="G6" s="13">
        <v>5</v>
      </c>
      <c r="H6" s="13">
        <v>2</v>
      </c>
      <c r="I6" s="26">
        <v>25</v>
      </c>
      <c r="J6" s="26">
        <f>I6/5</f>
        <v>5</v>
      </c>
      <c r="K6" s="19">
        <v>60</v>
      </c>
      <c r="L6" s="13">
        <f>K6/4</f>
        <v>15</v>
      </c>
      <c r="M6" s="13"/>
      <c r="N6" s="15">
        <f>E6+F6+G6+H6+J6+L6+M6</f>
        <v>35</v>
      </c>
      <c r="O6" s="1"/>
      <c r="P6" s="1"/>
    </row>
    <row r="7" spans="1:16" x14ac:dyDescent="0.25">
      <c r="A7" s="10">
        <v>2</v>
      </c>
      <c r="B7" s="13">
        <v>23031912</v>
      </c>
      <c r="C7" s="31" t="s">
        <v>21</v>
      </c>
      <c r="D7" s="12"/>
      <c r="E7" s="13">
        <v>3</v>
      </c>
      <c r="F7" s="13">
        <v>5</v>
      </c>
      <c r="G7" s="13">
        <v>5</v>
      </c>
      <c r="H7" s="13">
        <v>2</v>
      </c>
      <c r="I7" s="26">
        <v>35</v>
      </c>
      <c r="J7" s="26">
        <f t="shared" ref="J7:J29" si="0">I7/5</f>
        <v>7</v>
      </c>
      <c r="K7" s="14">
        <v>80</v>
      </c>
      <c r="L7" s="13">
        <f t="shared" ref="L7:L29" si="1">K7/4</f>
        <v>20</v>
      </c>
      <c r="M7" s="13"/>
      <c r="N7" s="15">
        <f t="shared" ref="N7:N29" si="2">E7+F7+G7+H7+J7+L7+M7</f>
        <v>42</v>
      </c>
      <c r="O7" s="1"/>
      <c r="P7" s="1"/>
    </row>
    <row r="8" spans="1:16" x14ac:dyDescent="0.25">
      <c r="A8" s="10">
        <v>3</v>
      </c>
      <c r="B8" s="13">
        <v>23031913</v>
      </c>
      <c r="C8" s="31" t="s">
        <v>22</v>
      </c>
      <c r="D8" s="12"/>
      <c r="E8" s="13">
        <v>3</v>
      </c>
      <c r="F8" s="13">
        <v>5</v>
      </c>
      <c r="G8" s="13">
        <v>5</v>
      </c>
      <c r="H8" s="13">
        <v>2</v>
      </c>
      <c r="I8" s="26">
        <v>15</v>
      </c>
      <c r="J8" s="26">
        <f t="shared" si="0"/>
        <v>3</v>
      </c>
      <c r="K8" s="21">
        <v>45</v>
      </c>
      <c r="L8" s="13">
        <f t="shared" si="1"/>
        <v>11.25</v>
      </c>
      <c r="M8" s="13"/>
      <c r="N8" s="15">
        <f t="shared" si="2"/>
        <v>29.25</v>
      </c>
      <c r="O8" s="1"/>
      <c r="P8" s="1"/>
    </row>
    <row r="9" spans="1:16" x14ac:dyDescent="0.25">
      <c r="A9" s="10">
        <v>4</v>
      </c>
      <c r="B9" s="13">
        <v>23031914</v>
      </c>
      <c r="C9" s="31" t="s">
        <v>23</v>
      </c>
      <c r="D9" s="12"/>
      <c r="E9" s="13">
        <v>3</v>
      </c>
      <c r="F9" s="13">
        <v>5</v>
      </c>
      <c r="G9" s="13">
        <v>5</v>
      </c>
      <c r="H9" s="13">
        <v>2</v>
      </c>
      <c r="I9" s="26">
        <v>10</v>
      </c>
      <c r="J9" s="26">
        <f t="shared" si="0"/>
        <v>2</v>
      </c>
      <c r="K9" s="21">
        <v>60</v>
      </c>
      <c r="L9" s="13">
        <f t="shared" si="1"/>
        <v>15</v>
      </c>
      <c r="M9" s="13"/>
      <c r="N9" s="15">
        <f t="shared" si="2"/>
        <v>32</v>
      </c>
      <c r="O9" s="1"/>
      <c r="P9" s="1"/>
    </row>
    <row r="10" spans="1:16" x14ac:dyDescent="0.25">
      <c r="A10" s="10">
        <v>5</v>
      </c>
      <c r="B10" s="13">
        <v>23031915</v>
      </c>
      <c r="C10" s="31" t="s">
        <v>24</v>
      </c>
      <c r="D10" s="12"/>
      <c r="E10" s="13">
        <v>3</v>
      </c>
      <c r="F10" s="13">
        <v>5</v>
      </c>
      <c r="G10" s="13">
        <v>5</v>
      </c>
      <c r="H10" s="13">
        <v>2</v>
      </c>
      <c r="I10" s="26">
        <v>42</v>
      </c>
      <c r="J10" s="26">
        <f t="shared" si="0"/>
        <v>8.4</v>
      </c>
      <c r="K10" s="20">
        <v>93</v>
      </c>
      <c r="L10" s="13">
        <f t="shared" si="1"/>
        <v>23.25</v>
      </c>
      <c r="M10" s="13"/>
      <c r="N10" s="15">
        <f t="shared" si="2"/>
        <v>46.65</v>
      </c>
      <c r="O10" s="1"/>
      <c r="P10" s="1"/>
    </row>
    <row r="11" spans="1:16" x14ac:dyDescent="0.25">
      <c r="A11" s="10">
        <v>6</v>
      </c>
      <c r="B11" s="13">
        <v>23031917</v>
      </c>
      <c r="C11" s="31" t="s">
        <v>26</v>
      </c>
      <c r="D11" s="12"/>
      <c r="E11" s="13">
        <v>3</v>
      </c>
      <c r="F11" s="13">
        <v>5</v>
      </c>
      <c r="G11" s="13">
        <v>5</v>
      </c>
      <c r="H11" s="13">
        <v>2</v>
      </c>
      <c r="I11" s="49" t="s">
        <v>56</v>
      </c>
      <c r="J11" s="26" t="e">
        <f t="shared" si="0"/>
        <v>#VALUE!</v>
      </c>
      <c r="K11" s="20">
        <v>27</v>
      </c>
      <c r="L11" s="13">
        <f t="shared" si="1"/>
        <v>6.75</v>
      </c>
      <c r="M11" s="13"/>
      <c r="N11" s="15" t="e">
        <f t="shared" si="2"/>
        <v>#VALUE!</v>
      </c>
      <c r="O11" s="1"/>
      <c r="P11" s="1"/>
    </row>
    <row r="12" spans="1:16" x14ac:dyDescent="0.25">
      <c r="A12" s="10">
        <v>7</v>
      </c>
      <c r="B12" s="13">
        <v>23031918</v>
      </c>
      <c r="C12" s="31" t="s">
        <v>27</v>
      </c>
      <c r="D12" s="12"/>
      <c r="E12" s="13">
        <v>3</v>
      </c>
      <c r="F12" s="13">
        <v>5</v>
      </c>
      <c r="G12" s="13">
        <v>5</v>
      </c>
      <c r="H12" s="13">
        <v>2</v>
      </c>
      <c r="I12" s="26">
        <v>25</v>
      </c>
      <c r="J12" s="26">
        <f t="shared" si="0"/>
        <v>5</v>
      </c>
      <c r="K12" s="14">
        <v>27</v>
      </c>
      <c r="L12" s="13">
        <f t="shared" si="1"/>
        <v>6.75</v>
      </c>
      <c r="M12" s="13"/>
      <c r="N12" s="15">
        <f t="shared" si="2"/>
        <v>26.75</v>
      </c>
      <c r="O12" s="1"/>
      <c r="P12" s="1"/>
    </row>
    <row r="13" spans="1:16" x14ac:dyDescent="0.25">
      <c r="A13" s="10">
        <v>8</v>
      </c>
      <c r="B13" s="13">
        <v>23031919</v>
      </c>
      <c r="C13" s="31" t="s">
        <v>28</v>
      </c>
      <c r="D13" s="12"/>
      <c r="E13" s="13">
        <v>3</v>
      </c>
      <c r="F13" s="13">
        <v>5</v>
      </c>
      <c r="G13" s="13">
        <v>5</v>
      </c>
      <c r="H13" s="13">
        <v>2</v>
      </c>
      <c r="I13" s="26">
        <v>25</v>
      </c>
      <c r="J13" s="26">
        <f t="shared" si="0"/>
        <v>5</v>
      </c>
      <c r="K13" s="23">
        <v>60</v>
      </c>
      <c r="L13" s="13">
        <f t="shared" si="1"/>
        <v>15</v>
      </c>
      <c r="M13" s="13"/>
      <c r="N13" s="15">
        <f t="shared" si="2"/>
        <v>35</v>
      </c>
      <c r="O13" s="1"/>
      <c r="P13" s="1"/>
    </row>
    <row r="14" spans="1:16" x14ac:dyDescent="0.25">
      <c r="A14" s="10">
        <v>9</v>
      </c>
      <c r="B14" s="13">
        <v>23031920</v>
      </c>
      <c r="C14" s="31" t="s">
        <v>29</v>
      </c>
      <c r="D14" s="12"/>
      <c r="E14" s="13">
        <v>3</v>
      </c>
      <c r="F14" s="13">
        <v>5</v>
      </c>
      <c r="G14" s="13">
        <v>5</v>
      </c>
      <c r="H14" s="13">
        <v>2</v>
      </c>
      <c r="I14" s="26">
        <v>20</v>
      </c>
      <c r="J14" s="26">
        <f t="shared" si="0"/>
        <v>4</v>
      </c>
      <c r="K14" s="12">
        <v>45</v>
      </c>
      <c r="L14" s="13">
        <f t="shared" si="1"/>
        <v>11.25</v>
      </c>
      <c r="M14" s="12"/>
      <c r="N14" s="15">
        <f t="shared" si="2"/>
        <v>30.25</v>
      </c>
      <c r="O14" s="1"/>
      <c r="P14" s="1"/>
    </row>
    <row r="15" spans="1:16" x14ac:dyDescent="0.25">
      <c r="A15" s="10">
        <v>10</v>
      </c>
      <c r="B15" s="13">
        <v>23031921</v>
      </c>
      <c r="C15" s="31" t="s">
        <v>30</v>
      </c>
      <c r="D15" s="12"/>
      <c r="E15" s="13">
        <v>3</v>
      </c>
      <c r="F15" s="13">
        <v>5</v>
      </c>
      <c r="G15" s="13">
        <v>5</v>
      </c>
      <c r="H15" s="13">
        <v>2</v>
      </c>
      <c r="I15" s="26">
        <v>42</v>
      </c>
      <c r="J15" s="26">
        <f t="shared" si="0"/>
        <v>8.4</v>
      </c>
      <c r="K15" s="24">
        <v>92</v>
      </c>
      <c r="L15" s="13">
        <f t="shared" si="1"/>
        <v>23</v>
      </c>
      <c r="M15" s="13"/>
      <c r="N15" s="15">
        <f t="shared" si="2"/>
        <v>46.4</v>
      </c>
      <c r="O15" s="1"/>
      <c r="P15" s="1"/>
    </row>
    <row r="16" spans="1:16" x14ac:dyDescent="0.25">
      <c r="A16" s="10">
        <v>11</v>
      </c>
      <c r="B16" s="13">
        <v>23031923</v>
      </c>
      <c r="C16" s="31" t="s">
        <v>31</v>
      </c>
      <c r="D16" s="12"/>
      <c r="E16" s="13">
        <v>3</v>
      </c>
      <c r="F16" s="13">
        <v>5</v>
      </c>
      <c r="G16" s="13">
        <v>5</v>
      </c>
      <c r="H16" s="13">
        <v>2</v>
      </c>
      <c r="I16" s="49">
        <v>17</v>
      </c>
      <c r="J16" s="26">
        <f t="shared" si="0"/>
        <v>3.4</v>
      </c>
      <c r="K16" s="12">
        <v>45</v>
      </c>
      <c r="L16" s="13">
        <f t="shared" si="1"/>
        <v>11.25</v>
      </c>
      <c r="M16" s="12"/>
      <c r="N16" s="15">
        <f t="shared" si="2"/>
        <v>29.65</v>
      </c>
      <c r="O16" s="1"/>
      <c r="P16" s="1"/>
    </row>
    <row r="17" spans="1:16" x14ac:dyDescent="0.25">
      <c r="A17" s="10">
        <v>12</v>
      </c>
      <c r="B17" s="13">
        <v>23031925</v>
      </c>
      <c r="C17" s="31" t="s">
        <v>32</v>
      </c>
      <c r="D17" s="12"/>
      <c r="E17" s="13">
        <v>3</v>
      </c>
      <c r="F17" s="13">
        <v>5</v>
      </c>
      <c r="G17" s="13">
        <v>5</v>
      </c>
      <c r="H17" s="13">
        <v>2</v>
      </c>
      <c r="I17" s="26">
        <v>46</v>
      </c>
      <c r="J17" s="26">
        <f t="shared" si="0"/>
        <v>9.1999999999999993</v>
      </c>
      <c r="K17" s="14">
        <v>92</v>
      </c>
      <c r="L17" s="13">
        <f t="shared" si="1"/>
        <v>23</v>
      </c>
      <c r="M17" s="13"/>
      <c r="N17" s="15">
        <f t="shared" si="2"/>
        <v>47.2</v>
      </c>
      <c r="O17" s="1"/>
      <c r="P17" s="1"/>
    </row>
    <row r="18" spans="1:16" x14ac:dyDescent="0.25">
      <c r="A18" s="10">
        <v>13</v>
      </c>
      <c r="B18" s="13">
        <v>23031926</v>
      </c>
      <c r="C18" s="31" t="s">
        <v>33</v>
      </c>
      <c r="D18" s="12"/>
      <c r="E18" s="13">
        <v>3</v>
      </c>
      <c r="F18" s="13">
        <v>5</v>
      </c>
      <c r="G18" s="13">
        <v>5</v>
      </c>
      <c r="H18" s="13">
        <v>2</v>
      </c>
      <c r="I18" s="49">
        <v>2</v>
      </c>
      <c r="J18" s="26">
        <f t="shared" si="0"/>
        <v>0.4</v>
      </c>
      <c r="K18" s="14">
        <v>10</v>
      </c>
      <c r="L18" s="13">
        <f t="shared" si="1"/>
        <v>2.5</v>
      </c>
      <c r="M18" s="13"/>
      <c r="N18" s="15">
        <f t="shared" si="2"/>
        <v>17.899999999999999</v>
      </c>
      <c r="O18" s="1"/>
      <c r="P18" s="1"/>
    </row>
    <row r="19" spans="1:16" x14ac:dyDescent="0.25">
      <c r="A19" s="10">
        <v>14</v>
      </c>
      <c r="B19" s="13">
        <v>23031927</v>
      </c>
      <c r="C19" s="31" t="s">
        <v>34</v>
      </c>
      <c r="D19" s="12"/>
      <c r="E19" s="13">
        <v>3</v>
      </c>
      <c r="F19" s="13">
        <v>5</v>
      </c>
      <c r="G19" s="13">
        <v>5</v>
      </c>
      <c r="H19" s="13">
        <v>2</v>
      </c>
      <c r="I19" s="26">
        <v>25</v>
      </c>
      <c r="J19" s="26">
        <f t="shared" si="0"/>
        <v>5</v>
      </c>
      <c r="K19" s="14">
        <v>45</v>
      </c>
      <c r="L19" s="13">
        <f t="shared" si="1"/>
        <v>11.25</v>
      </c>
      <c r="M19" s="13"/>
      <c r="N19" s="15">
        <f t="shared" si="2"/>
        <v>31.25</v>
      </c>
      <c r="O19" s="1"/>
      <c r="P19" s="1"/>
    </row>
    <row r="20" spans="1:16" x14ac:dyDescent="0.25">
      <c r="A20" s="10">
        <v>15</v>
      </c>
      <c r="B20" s="13">
        <v>23031928</v>
      </c>
      <c r="C20" s="31" t="s">
        <v>35</v>
      </c>
      <c r="D20" s="12"/>
      <c r="E20" s="13">
        <v>3</v>
      </c>
      <c r="F20" s="13">
        <v>5</v>
      </c>
      <c r="G20" s="13">
        <v>5</v>
      </c>
      <c r="H20" s="13">
        <v>2</v>
      </c>
      <c r="I20" s="26">
        <v>28</v>
      </c>
      <c r="J20" s="26">
        <f t="shared" si="0"/>
        <v>5.6</v>
      </c>
      <c r="K20" s="20">
        <v>91</v>
      </c>
      <c r="L20" s="13">
        <f t="shared" si="1"/>
        <v>22.75</v>
      </c>
      <c r="M20" s="13"/>
      <c r="N20" s="15">
        <f t="shared" si="2"/>
        <v>43.35</v>
      </c>
      <c r="O20" s="1"/>
      <c r="P20" s="1"/>
    </row>
    <row r="21" spans="1:16" x14ac:dyDescent="0.25">
      <c r="A21" s="10">
        <v>16</v>
      </c>
      <c r="B21" s="13">
        <v>23031929</v>
      </c>
      <c r="C21" s="31" t="s">
        <v>36</v>
      </c>
      <c r="D21" s="12"/>
      <c r="E21" s="13">
        <v>3</v>
      </c>
      <c r="F21" s="13">
        <v>5</v>
      </c>
      <c r="G21" s="13">
        <v>5</v>
      </c>
      <c r="H21" s="13">
        <v>2</v>
      </c>
      <c r="I21" s="26">
        <v>25</v>
      </c>
      <c r="J21" s="26">
        <f t="shared" si="0"/>
        <v>5</v>
      </c>
      <c r="K21" s="12">
        <v>45</v>
      </c>
      <c r="L21" s="13">
        <f t="shared" si="1"/>
        <v>11.25</v>
      </c>
      <c r="M21" s="12"/>
      <c r="N21" s="15">
        <f t="shared" si="2"/>
        <v>31.25</v>
      </c>
      <c r="O21" s="1"/>
      <c r="P21" s="1"/>
    </row>
    <row r="22" spans="1:16" x14ac:dyDescent="0.25">
      <c r="A22" s="10">
        <v>17</v>
      </c>
      <c r="B22" s="13">
        <v>23031930</v>
      </c>
      <c r="C22" s="31" t="s">
        <v>37</v>
      </c>
      <c r="D22" s="12"/>
      <c r="E22" s="13">
        <v>3</v>
      </c>
      <c r="F22" s="13">
        <v>5</v>
      </c>
      <c r="G22" s="13">
        <v>5</v>
      </c>
      <c r="H22" s="13">
        <v>2</v>
      </c>
      <c r="I22" s="49" t="s">
        <v>56</v>
      </c>
      <c r="J22" s="26" t="e">
        <f t="shared" si="0"/>
        <v>#VALUE!</v>
      </c>
      <c r="K22" s="12">
        <v>5</v>
      </c>
      <c r="L22" s="13">
        <f t="shared" si="1"/>
        <v>1.25</v>
      </c>
      <c r="M22" s="12"/>
      <c r="N22" s="15" t="e">
        <f t="shared" si="2"/>
        <v>#VALUE!</v>
      </c>
      <c r="O22" s="1"/>
      <c r="P22" s="1"/>
    </row>
    <row r="23" spans="1:16" x14ac:dyDescent="0.25">
      <c r="A23" s="10">
        <v>18</v>
      </c>
      <c r="B23" s="13">
        <v>23031931</v>
      </c>
      <c r="C23" s="31" t="s">
        <v>38</v>
      </c>
      <c r="D23" s="12"/>
      <c r="E23" s="13">
        <v>3</v>
      </c>
      <c r="F23" s="13">
        <v>5</v>
      </c>
      <c r="G23" s="13">
        <v>5</v>
      </c>
      <c r="H23" s="13">
        <v>2</v>
      </c>
      <c r="I23" s="26">
        <v>19</v>
      </c>
      <c r="J23" s="26">
        <f t="shared" si="0"/>
        <v>3.8</v>
      </c>
      <c r="K23" s="14">
        <v>55</v>
      </c>
      <c r="L23" s="13">
        <f t="shared" si="1"/>
        <v>13.75</v>
      </c>
      <c r="M23" s="13"/>
      <c r="N23" s="15">
        <f t="shared" si="2"/>
        <v>32.549999999999997</v>
      </c>
      <c r="O23" s="1"/>
      <c r="P23" s="1"/>
    </row>
    <row r="24" spans="1:16" x14ac:dyDescent="0.25">
      <c r="A24" s="10">
        <v>19</v>
      </c>
      <c r="B24" s="13">
        <v>23031932</v>
      </c>
      <c r="C24" s="31" t="s">
        <v>39</v>
      </c>
      <c r="D24" s="12"/>
      <c r="E24" s="13">
        <v>3</v>
      </c>
      <c r="F24" s="13">
        <v>5</v>
      </c>
      <c r="G24" s="13">
        <v>5</v>
      </c>
      <c r="H24" s="13">
        <v>2</v>
      </c>
      <c r="I24" s="26">
        <v>26</v>
      </c>
      <c r="J24" s="26">
        <f t="shared" si="0"/>
        <v>5.2</v>
      </c>
      <c r="K24" s="20">
        <v>45</v>
      </c>
      <c r="L24" s="13">
        <f t="shared" si="1"/>
        <v>11.25</v>
      </c>
      <c r="M24" s="13"/>
      <c r="N24" s="15">
        <f t="shared" si="2"/>
        <v>31.45</v>
      </c>
      <c r="O24" s="1"/>
      <c r="P24" s="1"/>
    </row>
    <row r="25" spans="1:16" x14ac:dyDescent="0.25">
      <c r="A25" s="10">
        <v>20</v>
      </c>
      <c r="B25" s="13">
        <v>23031933</v>
      </c>
      <c r="C25" s="31" t="s">
        <v>40</v>
      </c>
      <c r="D25" s="12"/>
      <c r="E25" s="13">
        <v>3</v>
      </c>
      <c r="F25" s="13">
        <v>5</v>
      </c>
      <c r="G25" s="13">
        <v>5</v>
      </c>
      <c r="H25" s="13">
        <v>2</v>
      </c>
      <c r="I25" s="26">
        <v>27</v>
      </c>
      <c r="J25" s="26">
        <f t="shared" si="0"/>
        <v>5.4</v>
      </c>
      <c r="K25" s="24">
        <v>35</v>
      </c>
      <c r="L25" s="13">
        <f t="shared" si="1"/>
        <v>8.75</v>
      </c>
      <c r="M25" s="13"/>
      <c r="N25" s="15">
        <f t="shared" si="2"/>
        <v>29.15</v>
      </c>
      <c r="O25" s="1"/>
      <c r="P25" s="1"/>
    </row>
    <row r="26" spans="1:16" x14ac:dyDescent="0.25">
      <c r="A26" s="10">
        <v>21</v>
      </c>
      <c r="B26" s="13">
        <v>23031934</v>
      </c>
      <c r="C26" s="31" t="s">
        <v>41</v>
      </c>
      <c r="D26" s="12"/>
      <c r="E26" s="13">
        <v>3</v>
      </c>
      <c r="F26" s="13">
        <v>5</v>
      </c>
      <c r="G26" s="13">
        <v>5</v>
      </c>
      <c r="H26" s="13">
        <v>2</v>
      </c>
      <c r="I26" s="26">
        <v>27</v>
      </c>
      <c r="J26" s="26">
        <f t="shared" si="0"/>
        <v>5.4</v>
      </c>
      <c r="K26" s="14">
        <v>70</v>
      </c>
      <c r="L26" s="13">
        <f t="shared" si="1"/>
        <v>17.5</v>
      </c>
      <c r="M26" s="13"/>
      <c r="N26" s="15">
        <f t="shared" si="2"/>
        <v>37.9</v>
      </c>
      <c r="O26" s="1"/>
      <c r="P26" s="1"/>
    </row>
    <row r="27" spans="1:16" x14ac:dyDescent="0.25">
      <c r="A27" s="10">
        <v>22</v>
      </c>
      <c r="B27" s="13">
        <v>23031935</v>
      </c>
      <c r="C27" s="31" t="s">
        <v>42</v>
      </c>
      <c r="D27" s="12"/>
      <c r="E27" s="13">
        <v>3</v>
      </c>
      <c r="F27" s="13">
        <v>5</v>
      </c>
      <c r="G27" s="13">
        <v>5</v>
      </c>
      <c r="H27" s="13">
        <v>2</v>
      </c>
      <c r="I27" s="26">
        <v>26</v>
      </c>
      <c r="J27" s="26">
        <f t="shared" si="0"/>
        <v>5.2</v>
      </c>
      <c r="K27" s="20">
        <v>75</v>
      </c>
      <c r="L27" s="13">
        <f t="shared" si="1"/>
        <v>18.75</v>
      </c>
      <c r="M27" s="13"/>
      <c r="N27" s="15">
        <f t="shared" si="2"/>
        <v>38.950000000000003</v>
      </c>
      <c r="O27" s="1"/>
      <c r="P27" s="1"/>
    </row>
    <row r="28" spans="1:16" x14ac:dyDescent="0.25">
      <c r="A28" s="10">
        <v>23</v>
      </c>
      <c r="B28" s="34">
        <v>23031936</v>
      </c>
      <c r="C28" s="47" t="s">
        <v>43</v>
      </c>
      <c r="D28" s="12"/>
      <c r="E28" s="13">
        <v>3</v>
      </c>
      <c r="F28" s="13">
        <v>5</v>
      </c>
      <c r="G28" s="13">
        <v>5</v>
      </c>
      <c r="H28" s="13">
        <v>2</v>
      </c>
      <c r="I28" s="26">
        <v>34</v>
      </c>
      <c r="J28" s="26">
        <f t="shared" si="0"/>
        <v>6.8</v>
      </c>
      <c r="K28" s="24">
        <v>75</v>
      </c>
      <c r="L28" s="13">
        <f t="shared" si="1"/>
        <v>18.75</v>
      </c>
      <c r="M28" s="13"/>
      <c r="N28" s="15">
        <f t="shared" si="2"/>
        <v>40.549999999999997</v>
      </c>
      <c r="O28" s="1"/>
      <c r="P28" s="1"/>
    </row>
    <row r="29" spans="1:16" x14ac:dyDescent="0.25">
      <c r="A29" s="10">
        <v>24</v>
      </c>
      <c r="B29" s="13">
        <v>23031937</v>
      </c>
      <c r="C29" s="31" t="s">
        <v>44</v>
      </c>
      <c r="D29" s="12"/>
      <c r="E29" s="13">
        <v>3</v>
      </c>
      <c r="F29" s="13">
        <v>5</v>
      </c>
      <c r="G29" s="13">
        <v>5</v>
      </c>
      <c r="H29" s="13">
        <v>2</v>
      </c>
      <c r="I29" s="26">
        <v>6</v>
      </c>
      <c r="J29" s="26">
        <f t="shared" si="0"/>
        <v>1.2</v>
      </c>
      <c r="K29" s="24">
        <v>60</v>
      </c>
      <c r="L29" s="13">
        <f t="shared" si="1"/>
        <v>15</v>
      </c>
      <c r="M29" s="13"/>
      <c r="N29" s="15">
        <f t="shared" si="2"/>
        <v>31.2</v>
      </c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6" t="s">
        <v>17</v>
      </c>
      <c r="M32" s="56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6" t="s">
        <v>18</v>
      </c>
      <c r="M33" s="56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</sheetData>
  <mergeCells count="7">
    <mergeCell ref="L32:M32"/>
    <mergeCell ref="L33:M33"/>
    <mergeCell ref="A1:N1"/>
    <mergeCell ref="A2:N2"/>
    <mergeCell ref="A3:N3"/>
    <mergeCell ref="A4:B4"/>
    <mergeCell ref="C4:E4"/>
  </mergeCells>
  <pageMargins left="0.2" right="0.2" top="0.23" bottom="0.24" header="0.16" footer="0.2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P5" sqref="P5"/>
    </sheetView>
  </sheetViews>
  <sheetFormatPr defaultRowHeight="15" x14ac:dyDescent="0.25"/>
  <cols>
    <col min="3" max="3" width="29.42578125" customWidth="1"/>
    <col min="4" max="4" width="12.85546875" customWidth="1"/>
    <col min="9" max="9" width="12" customWidth="1"/>
    <col min="10" max="10" width="11.85546875" customWidth="1"/>
    <col min="11" max="11" width="11.5703125" customWidth="1"/>
    <col min="12" max="12" width="10.28515625" customWidth="1"/>
  </cols>
  <sheetData>
    <row r="1" spans="1:15" ht="16.5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1"/>
    </row>
    <row r="2" spans="1:15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"/>
    </row>
    <row r="3" spans="1:15" ht="19.5" x14ac:dyDescent="0.3">
      <c r="A3" s="59" t="s">
        <v>51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1"/>
    </row>
    <row r="4" spans="1:15" ht="16.5" thickBot="1" x14ac:dyDescent="0.3">
      <c r="A4" s="60" t="s">
        <v>19</v>
      </c>
      <c r="B4" s="61"/>
      <c r="C4" s="62" t="s">
        <v>46</v>
      </c>
      <c r="D4" s="63"/>
      <c r="E4" s="63"/>
      <c r="F4" s="2" t="s">
        <v>52</v>
      </c>
      <c r="G4" s="3"/>
      <c r="H4" s="4"/>
      <c r="I4" s="3"/>
      <c r="J4" s="3"/>
      <c r="K4" s="3"/>
      <c r="L4" s="5" t="s">
        <v>2</v>
      </c>
      <c r="M4" s="3"/>
      <c r="N4" s="3"/>
      <c r="O4" s="1"/>
    </row>
    <row r="5" spans="1:15" ht="57" thickBot="1" x14ac:dyDescent="0.3">
      <c r="A5" s="6" t="s">
        <v>3</v>
      </c>
      <c r="B5" s="7" t="s">
        <v>4</v>
      </c>
      <c r="C5" s="8" t="s">
        <v>5</v>
      </c>
      <c r="D5" s="9" t="s">
        <v>48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6" t="s">
        <v>12</v>
      </c>
      <c r="K5" s="18" t="s">
        <v>13</v>
      </c>
      <c r="L5" s="17" t="s">
        <v>14</v>
      </c>
      <c r="M5" s="9" t="s">
        <v>15</v>
      </c>
      <c r="N5" s="9" t="s">
        <v>16</v>
      </c>
      <c r="O5" s="1"/>
    </row>
    <row r="6" spans="1:15" x14ac:dyDescent="0.25">
      <c r="A6" s="10">
        <v>1</v>
      </c>
      <c r="B6" s="13">
        <v>23031910</v>
      </c>
      <c r="C6" s="31" t="s">
        <v>20</v>
      </c>
      <c r="D6" s="12"/>
      <c r="E6" s="13">
        <v>3</v>
      </c>
      <c r="F6" s="13">
        <v>5</v>
      </c>
      <c r="G6" s="13">
        <v>5</v>
      </c>
      <c r="H6" s="13">
        <v>2</v>
      </c>
      <c r="I6" s="28">
        <v>43</v>
      </c>
      <c r="J6" s="14">
        <f>I6/5</f>
        <v>8.6</v>
      </c>
      <c r="K6" s="19"/>
      <c r="L6" s="13">
        <f>K6/4</f>
        <v>0</v>
      </c>
      <c r="M6" s="13"/>
      <c r="N6" s="15">
        <f>E6+F6+G6+H6+J6+L6+M6</f>
        <v>23.6</v>
      </c>
      <c r="O6" s="1"/>
    </row>
    <row r="7" spans="1:15" x14ac:dyDescent="0.25">
      <c r="A7" s="10">
        <v>2</v>
      </c>
      <c r="B7" s="13">
        <v>23031912</v>
      </c>
      <c r="C7" s="31" t="s">
        <v>21</v>
      </c>
      <c r="D7" s="12"/>
      <c r="E7" s="13">
        <v>3</v>
      </c>
      <c r="F7" s="13">
        <v>5</v>
      </c>
      <c r="G7" s="13">
        <v>5</v>
      </c>
      <c r="H7" s="13">
        <v>2</v>
      </c>
      <c r="I7" s="28">
        <v>43</v>
      </c>
      <c r="J7" s="14">
        <f t="shared" ref="J7:J29" si="0">I7/5</f>
        <v>8.6</v>
      </c>
      <c r="K7" s="14"/>
      <c r="L7" s="13">
        <f t="shared" ref="L7:L29" si="1">K7/4</f>
        <v>0</v>
      </c>
      <c r="M7" s="13"/>
      <c r="N7" s="15">
        <f t="shared" ref="N7:N29" si="2">E7+F7+G7+H7+J7+L7+M7</f>
        <v>23.6</v>
      </c>
      <c r="O7" s="1"/>
    </row>
    <row r="8" spans="1:15" x14ac:dyDescent="0.25">
      <c r="A8" s="10">
        <v>3</v>
      </c>
      <c r="B8" s="13">
        <v>23031913</v>
      </c>
      <c r="C8" s="31" t="s">
        <v>22</v>
      </c>
      <c r="D8" s="12"/>
      <c r="E8" s="13">
        <v>3</v>
      </c>
      <c r="F8" s="13">
        <v>5</v>
      </c>
      <c r="G8" s="13">
        <v>5</v>
      </c>
      <c r="H8" s="13">
        <v>2</v>
      </c>
      <c r="I8" s="28">
        <v>5</v>
      </c>
      <c r="J8" s="14">
        <f t="shared" si="0"/>
        <v>1</v>
      </c>
      <c r="K8" s="21"/>
      <c r="L8" s="13">
        <f t="shared" si="1"/>
        <v>0</v>
      </c>
      <c r="M8" s="13"/>
      <c r="N8" s="15">
        <f t="shared" si="2"/>
        <v>16</v>
      </c>
      <c r="O8" s="1"/>
    </row>
    <row r="9" spans="1:15" x14ac:dyDescent="0.25">
      <c r="A9" s="10">
        <v>4</v>
      </c>
      <c r="B9" s="13">
        <v>23031914</v>
      </c>
      <c r="C9" s="31" t="s">
        <v>23</v>
      </c>
      <c r="D9" s="12"/>
      <c r="E9" s="13">
        <v>3</v>
      </c>
      <c r="F9" s="13">
        <v>5</v>
      </c>
      <c r="G9" s="13">
        <v>5</v>
      </c>
      <c r="H9" s="13">
        <v>2</v>
      </c>
      <c r="I9" s="28">
        <v>2</v>
      </c>
      <c r="J9" s="14">
        <f t="shared" si="0"/>
        <v>0.4</v>
      </c>
      <c r="K9" s="21"/>
      <c r="L9" s="13">
        <f t="shared" si="1"/>
        <v>0</v>
      </c>
      <c r="M9" s="13"/>
      <c r="N9" s="15">
        <f t="shared" si="2"/>
        <v>15.4</v>
      </c>
      <c r="O9" s="1"/>
    </row>
    <row r="10" spans="1:15" x14ac:dyDescent="0.25">
      <c r="A10" s="10">
        <v>5</v>
      </c>
      <c r="B10" s="13">
        <v>23031915</v>
      </c>
      <c r="C10" s="31" t="s">
        <v>24</v>
      </c>
      <c r="D10" s="12"/>
      <c r="E10" s="13">
        <v>3</v>
      </c>
      <c r="F10" s="13">
        <v>5</v>
      </c>
      <c r="G10" s="13">
        <v>5</v>
      </c>
      <c r="H10" s="13">
        <v>2</v>
      </c>
      <c r="I10" s="28">
        <v>50</v>
      </c>
      <c r="J10" s="14">
        <f t="shared" si="0"/>
        <v>10</v>
      </c>
      <c r="K10" s="20"/>
      <c r="L10" s="13">
        <f t="shared" si="1"/>
        <v>0</v>
      </c>
      <c r="M10" s="13"/>
      <c r="N10" s="15">
        <f t="shared" si="2"/>
        <v>25</v>
      </c>
      <c r="O10" s="1"/>
    </row>
    <row r="11" spans="1:15" x14ac:dyDescent="0.25">
      <c r="A11" s="10">
        <v>6</v>
      </c>
      <c r="B11" s="13">
        <v>23031917</v>
      </c>
      <c r="C11" s="31" t="s">
        <v>26</v>
      </c>
      <c r="D11" s="12"/>
      <c r="E11" s="13">
        <v>3</v>
      </c>
      <c r="F11" s="13">
        <v>5</v>
      </c>
      <c r="G11" s="13">
        <v>5</v>
      </c>
      <c r="H11" s="13">
        <v>2</v>
      </c>
      <c r="I11" s="28" t="s">
        <v>56</v>
      </c>
      <c r="J11" s="14" t="e">
        <f t="shared" si="0"/>
        <v>#VALUE!</v>
      </c>
      <c r="K11" s="22"/>
      <c r="L11" s="13">
        <f t="shared" si="1"/>
        <v>0</v>
      </c>
      <c r="M11" s="13"/>
      <c r="N11" s="15" t="e">
        <f t="shared" si="2"/>
        <v>#VALUE!</v>
      </c>
      <c r="O11" s="1"/>
    </row>
    <row r="12" spans="1:15" x14ac:dyDescent="0.25">
      <c r="A12" s="10">
        <v>7</v>
      </c>
      <c r="B12" s="13">
        <v>23031918</v>
      </c>
      <c r="C12" s="31" t="s">
        <v>27</v>
      </c>
      <c r="D12" s="12"/>
      <c r="E12" s="13">
        <v>3</v>
      </c>
      <c r="F12" s="13">
        <v>5</v>
      </c>
      <c r="G12" s="13">
        <v>5</v>
      </c>
      <c r="H12" s="13">
        <v>2</v>
      </c>
      <c r="I12" s="28">
        <v>12</v>
      </c>
      <c r="J12" s="14">
        <f t="shared" si="0"/>
        <v>2.4</v>
      </c>
      <c r="K12" s="14"/>
      <c r="L12" s="13">
        <f t="shared" si="1"/>
        <v>0</v>
      </c>
      <c r="M12" s="13"/>
      <c r="N12" s="15">
        <f t="shared" si="2"/>
        <v>17.399999999999999</v>
      </c>
      <c r="O12" s="1"/>
    </row>
    <row r="13" spans="1:15" x14ac:dyDescent="0.25">
      <c r="A13" s="10">
        <v>8</v>
      </c>
      <c r="B13" s="13">
        <v>23031919</v>
      </c>
      <c r="C13" s="31" t="s">
        <v>28</v>
      </c>
      <c r="D13" s="12"/>
      <c r="E13" s="13">
        <v>3</v>
      </c>
      <c r="F13" s="13">
        <v>5</v>
      </c>
      <c r="G13" s="13">
        <v>5</v>
      </c>
      <c r="H13" s="13">
        <v>2</v>
      </c>
      <c r="I13" s="28">
        <v>18</v>
      </c>
      <c r="J13" s="14">
        <f t="shared" si="0"/>
        <v>3.6</v>
      </c>
      <c r="K13" s="23"/>
      <c r="L13" s="13">
        <f t="shared" si="1"/>
        <v>0</v>
      </c>
      <c r="M13" s="13"/>
      <c r="N13" s="15">
        <f t="shared" si="2"/>
        <v>18.600000000000001</v>
      </c>
      <c r="O13" s="1"/>
    </row>
    <row r="14" spans="1:15" x14ac:dyDescent="0.25">
      <c r="A14" s="10">
        <v>9</v>
      </c>
      <c r="B14" s="13">
        <v>23031920</v>
      </c>
      <c r="C14" s="31" t="s">
        <v>29</v>
      </c>
      <c r="D14" s="12"/>
      <c r="E14" s="13">
        <v>3</v>
      </c>
      <c r="F14" s="13">
        <v>5</v>
      </c>
      <c r="G14" s="13">
        <v>5</v>
      </c>
      <c r="H14" s="13">
        <v>2</v>
      </c>
      <c r="I14" s="28">
        <v>32</v>
      </c>
      <c r="J14" s="14">
        <f t="shared" si="0"/>
        <v>6.4</v>
      </c>
      <c r="K14" s="12"/>
      <c r="L14" s="13">
        <f t="shared" si="1"/>
        <v>0</v>
      </c>
      <c r="M14" s="12"/>
      <c r="N14" s="15">
        <f t="shared" si="2"/>
        <v>21.4</v>
      </c>
      <c r="O14" s="1"/>
    </row>
    <row r="15" spans="1:15" x14ac:dyDescent="0.25">
      <c r="A15" s="10">
        <v>10</v>
      </c>
      <c r="B15" s="13">
        <v>23031921</v>
      </c>
      <c r="C15" s="31" t="s">
        <v>30</v>
      </c>
      <c r="D15" s="12"/>
      <c r="E15" s="13">
        <v>3</v>
      </c>
      <c r="F15" s="13">
        <v>5</v>
      </c>
      <c r="G15" s="13">
        <v>5</v>
      </c>
      <c r="H15" s="13">
        <v>2</v>
      </c>
      <c r="I15" s="28">
        <v>45</v>
      </c>
      <c r="J15" s="14">
        <f t="shared" si="0"/>
        <v>9</v>
      </c>
      <c r="K15" s="24"/>
      <c r="L15" s="13">
        <f t="shared" si="1"/>
        <v>0</v>
      </c>
      <c r="M15" s="13"/>
      <c r="N15" s="15">
        <f t="shared" si="2"/>
        <v>24</v>
      </c>
      <c r="O15" s="1"/>
    </row>
    <row r="16" spans="1:15" x14ac:dyDescent="0.25">
      <c r="A16" s="10">
        <v>11</v>
      </c>
      <c r="B16" s="13">
        <v>23031923</v>
      </c>
      <c r="C16" s="31" t="s">
        <v>31</v>
      </c>
      <c r="D16" s="12"/>
      <c r="E16" s="13">
        <v>3</v>
      </c>
      <c r="F16" s="13">
        <v>5</v>
      </c>
      <c r="G16" s="13">
        <v>5</v>
      </c>
      <c r="H16" s="13">
        <v>2</v>
      </c>
      <c r="I16" s="28" t="s">
        <v>56</v>
      </c>
      <c r="J16" s="14" t="e">
        <f t="shared" si="0"/>
        <v>#VALUE!</v>
      </c>
      <c r="K16" s="12"/>
      <c r="L16" s="13">
        <f t="shared" si="1"/>
        <v>0</v>
      </c>
      <c r="M16" s="12"/>
      <c r="N16" s="15" t="e">
        <f t="shared" si="2"/>
        <v>#VALUE!</v>
      </c>
      <c r="O16" s="1"/>
    </row>
    <row r="17" spans="1:15" x14ac:dyDescent="0.25">
      <c r="A17" s="10">
        <v>12</v>
      </c>
      <c r="B17" s="13">
        <v>23031925</v>
      </c>
      <c r="C17" s="31" t="s">
        <v>32</v>
      </c>
      <c r="D17" s="12"/>
      <c r="E17" s="13">
        <v>3</v>
      </c>
      <c r="F17" s="13">
        <v>5</v>
      </c>
      <c r="G17" s="13">
        <v>5</v>
      </c>
      <c r="H17" s="13">
        <v>2</v>
      </c>
      <c r="I17" s="28">
        <v>45</v>
      </c>
      <c r="J17" s="14">
        <f t="shared" si="0"/>
        <v>9</v>
      </c>
      <c r="K17" s="14"/>
      <c r="L17" s="13">
        <f t="shared" si="1"/>
        <v>0</v>
      </c>
      <c r="M17" s="13"/>
      <c r="N17" s="15">
        <f t="shared" si="2"/>
        <v>24</v>
      </c>
      <c r="O17" s="1"/>
    </row>
    <row r="18" spans="1:15" x14ac:dyDescent="0.25">
      <c r="A18" s="10">
        <v>13</v>
      </c>
      <c r="B18" s="13">
        <v>23031926</v>
      </c>
      <c r="C18" s="31" t="s">
        <v>33</v>
      </c>
      <c r="D18" s="12"/>
      <c r="E18" s="13">
        <v>3</v>
      </c>
      <c r="F18" s="13">
        <v>5</v>
      </c>
      <c r="G18" s="13">
        <v>5</v>
      </c>
      <c r="H18" s="13">
        <v>2</v>
      </c>
      <c r="I18" s="28">
        <v>0</v>
      </c>
      <c r="J18" s="14">
        <f t="shared" si="0"/>
        <v>0</v>
      </c>
      <c r="K18" s="14"/>
      <c r="L18" s="13">
        <f t="shared" si="1"/>
        <v>0</v>
      </c>
      <c r="M18" s="13"/>
      <c r="N18" s="15">
        <f t="shared" si="2"/>
        <v>15</v>
      </c>
      <c r="O18" s="1"/>
    </row>
    <row r="19" spans="1:15" x14ac:dyDescent="0.25">
      <c r="A19" s="10">
        <v>14</v>
      </c>
      <c r="B19" s="13">
        <v>23031927</v>
      </c>
      <c r="C19" s="31" t="s">
        <v>34</v>
      </c>
      <c r="D19" s="12"/>
      <c r="E19" s="13">
        <v>3</v>
      </c>
      <c r="F19" s="13">
        <v>5</v>
      </c>
      <c r="G19" s="13">
        <v>5</v>
      </c>
      <c r="H19" s="13">
        <v>2</v>
      </c>
      <c r="I19" s="28">
        <v>45</v>
      </c>
      <c r="J19" s="14">
        <f t="shared" si="0"/>
        <v>9</v>
      </c>
      <c r="K19" s="14"/>
      <c r="L19" s="13">
        <f t="shared" si="1"/>
        <v>0</v>
      </c>
      <c r="M19" s="13"/>
      <c r="N19" s="15">
        <f t="shared" si="2"/>
        <v>24</v>
      </c>
      <c r="O19" s="1"/>
    </row>
    <row r="20" spans="1:15" x14ac:dyDescent="0.25">
      <c r="A20" s="10">
        <v>15</v>
      </c>
      <c r="B20" s="13">
        <v>23031928</v>
      </c>
      <c r="C20" s="31" t="s">
        <v>35</v>
      </c>
      <c r="D20" s="12"/>
      <c r="E20" s="13">
        <v>3</v>
      </c>
      <c r="F20" s="13">
        <v>5</v>
      </c>
      <c r="G20" s="13">
        <v>5</v>
      </c>
      <c r="H20" s="13">
        <v>2</v>
      </c>
      <c r="I20" s="28">
        <v>48</v>
      </c>
      <c r="J20" s="14">
        <f t="shared" si="0"/>
        <v>9.6</v>
      </c>
      <c r="K20" s="20"/>
      <c r="L20" s="13">
        <f t="shared" si="1"/>
        <v>0</v>
      </c>
      <c r="M20" s="13"/>
      <c r="N20" s="15">
        <f t="shared" si="2"/>
        <v>24.6</v>
      </c>
      <c r="O20" s="1"/>
    </row>
    <row r="21" spans="1:15" x14ac:dyDescent="0.25">
      <c r="A21" s="10">
        <v>16</v>
      </c>
      <c r="B21" s="13">
        <v>23031929</v>
      </c>
      <c r="C21" s="31" t="s">
        <v>36</v>
      </c>
      <c r="D21" s="12"/>
      <c r="E21" s="13">
        <v>3</v>
      </c>
      <c r="F21" s="13">
        <v>5</v>
      </c>
      <c r="G21" s="13">
        <v>5</v>
      </c>
      <c r="H21" s="13">
        <v>2</v>
      </c>
      <c r="I21" s="28" t="s">
        <v>56</v>
      </c>
      <c r="J21" s="14" t="e">
        <f t="shared" si="0"/>
        <v>#VALUE!</v>
      </c>
      <c r="K21" s="12"/>
      <c r="L21" s="13">
        <f t="shared" si="1"/>
        <v>0</v>
      </c>
      <c r="M21" s="12"/>
      <c r="N21" s="15" t="e">
        <f t="shared" si="2"/>
        <v>#VALUE!</v>
      </c>
      <c r="O21" s="1"/>
    </row>
    <row r="22" spans="1:15" x14ac:dyDescent="0.25">
      <c r="A22" s="10">
        <v>17</v>
      </c>
      <c r="B22" s="13">
        <v>23031930</v>
      </c>
      <c r="C22" s="31" t="s">
        <v>37</v>
      </c>
      <c r="D22" s="12"/>
      <c r="E22" s="13">
        <v>3</v>
      </c>
      <c r="F22" s="13">
        <v>5</v>
      </c>
      <c r="G22" s="13">
        <v>5</v>
      </c>
      <c r="H22" s="13">
        <v>2</v>
      </c>
      <c r="I22" s="28">
        <v>6</v>
      </c>
      <c r="J22" s="14">
        <f t="shared" si="0"/>
        <v>1.2</v>
      </c>
      <c r="K22" s="12"/>
      <c r="L22" s="13">
        <f t="shared" si="1"/>
        <v>0</v>
      </c>
      <c r="M22" s="12"/>
      <c r="N22" s="15">
        <f t="shared" si="2"/>
        <v>16.2</v>
      </c>
      <c r="O22" s="1"/>
    </row>
    <row r="23" spans="1:15" x14ac:dyDescent="0.25">
      <c r="A23" s="10">
        <v>18</v>
      </c>
      <c r="B23" s="13">
        <v>23031931</v>
      </c>
      <c r="C23" s="31" t="s">
        <v>38</v>
      </c>
      <c r="D23" s="12"/>
      <c r="E23" s="13">
        <v>3</v>
      </c>
      <c r="F23" s="13">
        <v>5</v>
      </c>
      <c r="G23" s="13">
        <v>5</v>
      </c>
      <c r="H23" s="13">
        <v>2</v>
      </c>
      <c r="I23" s="28">
        <v>26</v>
      </c>
      <c r="J23" s="14">
        <f t="shared" si="0"/>
        <v>5.2</v>
      </c>
      <c r="K23" s="14"/>
      <c r="L23" s="13">
        <f t="shared" si="1"/>
        <v>0</v>
      </c>
      <c r="M23" s="13"/>
      <c r="N23" s="15">
        <f t="shared" si="2"/>
        <v>20.2</v>
      </c>
      <c r="O23" s="1"/>
    </row>
    <row r="24" spans="1:15" x14ac:dyDescent="0.25">
      <c r="A24" s="10">
        <v>19</v>
      </c>
      <c r="B24" s="13">
        <v>23031932</v>
      </c>
      <c r="C24" s="31" t="s">
        <v>39</v>
      </c>
      <c r="D24" s="12"/>
      <c r="E24" s="13">
        <v>3</v>
      </c>
      <c r="F24" s="13">
        <v>5</v>
      </c>
      <c r="G24" s="13">
        <v>5</v>
      </c>
      <c r="H24" s="13">
        <v>2</v>
      </c>
      <c r="I24" s="29">
        <v>33</v>
      </c>
      <c r="J24" s="14">
        <f t="shared" si="0"/>
        <v>6.6</v>
      </c>
      <c r="K24" s="20"/>
      <c r="L24" s="13">
        <f t="shared" si="1"/>
        <v>0</v>
      </c>
      <c r="M24" s="13"/>
      <c r="N24" s="15">
        <f t="shared" si="2"/>
        <v>21.6</v>
      </c>
      <c r="O24" s="1"/>
    </row>
    <row r="25" spans="1:15" x14ac:dyDescent="0.25">
      <c r="A25" s="10">
        <v>20</v>
      </c>
      <c r="B25" s="13">
        <v>23031933</v>
      </c>
      <c r="C25" s="31" t="s">
        <v>40</v>
      </c>
      <c r="D25" s="12"/>
      <c r="E25" s="13">
        <v>3</v>
      </c>
      <c r="F25" s="13">
        <v>5</v>
      </c>
      <c r="G25" s="13">
        <v>5</v>
      </c>
      <c r="H25" s="13">
        <v>2</v>
      </c>
      <c r="I25" s="29">
        <v>30</v>
      </c>
      <c r="J25" s="14">
        <f t="shared" si="0"/>
        <v>6</v>
      </c>
      <c r="K25" s="24"/>
      <c r="L25" s="13">
        <f t="shared" si="1"/>
        <v>0</v>
      </c>
      <c r="M25" s="13"/>
      <c r="N25" s="15">
        <f t="shared" si="2"/>
        <v>21</v>
      </c>
      <c r="O25" s="1"/>
    </row>
    <row r="26" spans="1:15" x14ac:dyDescent="0.25">
      <c r="A26" s="10">
        <v>21</v>
      </c>
      <c r="B26" s="13">
        <v>23031934</v>
      </c>
      <c r="C26" s="31" t="s">
        <v>41</v>
      </c>
      <c r="D26" s="12"/>
      <c r="E26" s="13">
        <v>3</v>
      </c>
      <c r="F26" s="13">
        <v>5</v>
      </c>
      <c r="G26" s="13">
        <v>5</v>
      </c>
      <c r="H26" s="13">
        <v>2</v>
      </c>
      <c r="I26" s="28">
        <v>16</v>
      </c>
      <c r="J26" s="14">
        <f t="shared" si="0"/>
        <v>3.2</v>
      </c>
      <c r="K26" s="14"/>
      <c r="L26" s="13">
        <f t="shared" si="1"/>
        <v>0</v>
      </c>
      <c r="M26" s="13"/>
      <c r="N26" s="15">
        <f t="shared" si="2"/>
        <v>18.2</v>
      </c>
      <c r="O26" s="1"/>
    </row>
    <row r="27" spans="1:15" x14ac:dyDescent="0.25">
      <c r="A27" s="10">
        <v>22</v>
      </c>
      <c r="B27" s="13">
        <v>23031935</v>
      </c>
      <c r="C27" s="31" t="s">
        <v>42</v>
      </c>
      <c r="D27" s="12"/>
      <c r="E27" s="13">
        <v>3</v>
      </c>
      <c r="F27" s="13">
        <v>5</v>
      </c>
      <c r="G27" s="13">
        <v>5</v>
      </c>
      <c r="H27" s="13">
        <v>2</v>
      </c>
      <c r="I27" s="28">
        <v>25</v>
      </c>
      <c r="J27" s="14">
        <f t="shared" si="0"/>
        <v>5</v>
      </c>
      <c r="K27" s="20"/>
      <c r="L27" s="13">
        <f t="shared" si="1"/>
        <v>0</v>
      </c>
      <c r="M27" s="13"/>
      <c r="N27" s="15">
        <f t="shared" si="2"/>
        <v>20</v>
      </c>
      <c r="O27" s="1"/>
    </row>
    <row r="28" spans="1:15" x14ac:dyDescent="0.25">
      <c r="A28" s="10">
        <v>23</v>
      </c>
      <c r="B28" s="34">
        <v>23031936</v>
      </c>
      <c r="C28" s="47" t="s">
        <v>43</v>
      </c>
      <c r="D28" s="12"/>
      <c r="E28" s="13">
        <v>3</v>
      </c>
      <c r="F28" s="13">
        <v>5</v>
      </c>
      <c r="G28" s="13">
        <v>5</v>
      </c>
      <c r="H28" s="13">
        <v>2</v>
      </c>
      <c r="I28" s="28">
        <v>49</v>
      </c>
      <c r="J28" s="14">
        <f t="shared" si="0"/>
        <v>9.8000000000000007</v>
      </c>
      <c r="K28" s="24"/>
      <c r="L28" s="13">
        <f t="shared" si="1"/>
        <v>0</v>
      </c>
      <c r="M28" s="13"/>
      <c r="N28" s="15">
        <f t="shared" si="2"/>
        <v>24.8</v>
      </c>
      <c r="O28" s="1"/>
    </row>
    <row r="29" spans="1:15" x14ac:dyDescent="0.25">
      <c r="A29" s="10">
        <v>24</v>
      </c>
      <c r="B29" s="13">
        <v>23031937</v>
      </c>
      <c r="C29" s="31" t="s">
        <v>44</v>
      </c>
      <c r="D29" s="12"/>
      <c r="E29" s="13">
        <v>3</v>
      </c>
      <c r="F29" s="13">
        <v>5</v>
      </c>
      <c r="G29" s="13">
        <v>5</v>
      </c>
      <c r="H29" s="13">
        <v>2</v>
      </c>
      <c r="I29" s="28">
        <v>20</v>
      </c>
      <c r="J29" s="14">
        <f t="shared" si="0"/>
        <v>4</v>
      </c>
      <c r="K29" s="24"/>
      <c r="L29" s="13">
        <f t="shared" si="1"/>
        <v>0</v>
      </c>
      <c r="M29" s="13"/>
      <c r="N29" s="15">
        <f t="shared" si="2"/>
        <v>19</v>
      </c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56" t="s">
        <v>17</v>
      </c>
      <c r="M31" s="56"/>
      <c r="N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6" t="s">
        <v>18</v>
      </c>
      <c r="M32" s="56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mergeCells count="7">
    <mergeCell ref="L31:M31"/>
    <mergeCell ref="L32:M32"/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workbookViewId="0">
      <selection activeCell="O5" sqref="O5"/>
    </sheetView>
  </sheetViews>
  <sheetFormatPr defaultRowHeight="15" x14ac:dyDescent="0.25"/>
  <cols>
    <col min="3" max="3" width="31.5703125" customWidth="1"/>
    <col min="9" max="9" width="13.28515625" customWidth="1"/>
    <col min="11" max="11" width="10" customWidth="1"/>
    <col min="12" max="12" width="11.5703125" customWidth="1"/>
  </cols>
  <sheetData>
    <row r="1" spans="1:19" ht="16.5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1"/>
      <c r="P1" s="1"/>
      <c r="Q1" s="1"/>
      <c r="R1" s="1"/>
      <c r="S1" s="1"/>
    </row>
    <row r="2" spans="1:19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"/>
      <c r="P2" s="1"/>
      <c r="Q2" s="1"/>
      <c r="R2" s="1"/>
      <c r="S2" s="1"/>
    </row>
    <row r="3" spans="1:19" ht="19.5" x14ac:dyDescent="0.3">
      <c r="A3" s="59" t="s">
        <v>49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1"/>
      <c r="P3" s="1"/>
      <c r="Q3" s="1"/>
      <c r="R3" s="1"/>
      <c r="S3" s="1"/>
    </row>
    <row r="4" spans="1:19" ht="16.5" thickBot="1" x14ac:dyDescent="0.3">
      <c r="A4" s="60" t="s">
        <v>19</v>
      </c>
      <c r="B4" s="61"/>
      <c r="C4" s="62" t="s">
        <v>46</v>
      </c>
      <c r="D4" s="63"/>
      <c r="E4" s="63"/>
      <c r="F4" s="2" t="s">
        <v>53</v>
      </c>
      <c r="G4" s="3"/>
      <c r="H4" s="4"/>
      <c r="I4" s="3"/>
      <c r="J4" s="3"/>
      <c r="K4" s="3"/>
      <c r="L4" s="5" t="s">
        <v>2</v>
      </c>
      <c r="M4" s="3"/>
      <c r="N4" s="3"/>
      <c r="O4" s="1"/>
      <c r="P4" s="1"/>
      <c r="Q4" s="1"/>
      <c r="R4" s="1"/>
      <c r="S4" s="1"/>
    </row>
    <row r="5" spans="1:19" ht="57" thickBot="1" x14ac:dyDescent="0.3">
      <c r="A5" s="6" t="s">
        <v>3</v>
      </c>
      <c r="B5" s="7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6" t="s">
        <v>12</v>
      </c>
      <c r="K5" s="18" t="s">
        <v>13</v>
      </c>
      <c r="L5" s="17" t="s">
        <v>14</v>
      </c>
      <c r="M5" s="9" t="s">
        <v>15</v>
      </c>
      <c r="N5" s="9" t="s">
        <v>16</v>
      </c>
      <c r="O5" s="1"/>
      <c r="P5" s="1"/>
      <c r="Q5" s="1"/>
      <c r="R5" s="1"/>
      <c r="S5" s="1"/>
    </row>
    <row r="6" spans="1:19" x14ac:dyDescent="0.25">
      <c r="A6" s="10">
        <v>1</v>
      </c>
      <c r="B6" s="13">
        <v>23031910</v>
      </c>
      <c r="C6" s="31" t="s">
        <v>20</v>
      </c>
      <c r="D6" s="12"/>
      <c r="E6" s="13">
        <v>3</v>
      </c>
      <c r="F6" s="13">
        <v>5</v>
      </c>
      <c r="G6" s="13">
        <v>5</v>
      </c>
      <c r="H6" s="13">
        <v>2</v>
      </c>
      <c r="I6" s="28">
        <v>35</v>
      </c>
      <c r="J6" s="14">
        <f>I6/5</f>
        <v>7</v>
      </c>
      <c r="K6" s="19"/>
      <c r="L6" s="13">
        <f>K6/4</f>
        <v>0</v>
      </c>
      <c r="M6" s="13"/>
      <c r="N6" s="15">
        <f>E6+F6+G6+H6+J6+L6+M6</f>
        <v>22</v>
      </c>
      <c r="O6" s="1"/>
      <c r="P6" s="1"/>
      <c r="Q6" s="1"/>
      <c r="R6" s="1"/>
      <c r="S6" s="1"/>
    </row>
    <row r="7" spans="1:19" x14ac:dyDescent="0.25">
      <c r="A7" s="10">
        <v>3</v>
      </c>
      <c r="B7" s="13">
        <v>23031912</v>
      </c>
      <c r="C7" s="31" t="s">
        <v>21</v>
      </c>
      <c r="D7" s="12"/>
      <c r="E7" s="13">
        <v>3</v>
      </c>
      <c r="F7" s="13">
        <v>5</v>
      </c>
      <c r="G7" s="13">
        <v>5</v>
      </c>
      <c r="H7" s="13">
        <v>2</v>
      </c>
      <c r="I7" s="28">
        <v>45</v>
      </c>
      <c r="J7" s="14">
        <f t="shared" ref="J7:J29" si="0">I7/5</f>
        <v>9</v>
      </c>
      <c r="K7" s="14"/>
      <c r="L7" s="13">
        <f t="shared" ref="L7:L29" si="1">K7/4</f>
        <v>0</v>
      </c>
      <c r="M7" s="13"/>
      <c r="N7" s="15">
        <f t="shared" ref="N7:N53" si="2">E7+F7+G7+H7+J7+L7+M7</f>
        <v>24</v>
      </c>
      <c r="O7" s="1"/>
      <c r="P7" s="1"/>
      <c r="Q7" s="1"/>
      <c r="R7" s="1"/>
      <c r="S7" s="1"/>
    </row>
    <row r="8" spans="1:19" x14ac:dyDescent="0.25">
      <c r="A8" s="10">
        <v>4</v>
      </c>
      <c r="B8" s="13">
        <v>23031913</v>
      </c>
      <c r="C8" s="31" t="s">
        <v>22</v>
      </c>
      <c r="D8" s="12"/>
      <c r="E8" s="13">
        <v>3</v>
      </c>
      <c r="F8" s="13">
        <v>5</v>
      </c>
      <c r="G8" s="13">
        <v>5</v>
      </c>
      <c r="H8" s="13">
        <v>2</v>
      </c>
      <c r="I8" s="28">
        <v>28</v>
      </c>
      <c r="J8" s="14">
        <f t="shared" si="0"/>
        <v>5.6</v>
      </c>
      <c r="K8" s="21"/>
      <c r="L8" s="13">
        <f t="shared" si="1"/>
        <v>0</v>
      </c>
      <c r="M8" s="13"/>
      <c r="N8" s="15">
        <f t="shared" si="2"/>
        <v>20.6</v>
      </c>
      <c r="O8" s="1"/>
      <c r="P8" s="1"/>
      <c r="Q8" s="1"/>
      <c r="R8" s="1"/>
      <c r="S8" s="1"/>
    </row>
    <row r="9" spans="1:19" x14ac:dyDescent="0.25">
      <c r="A9" s="10">
        <v>5</v>
      </c>
      <c r="B9" s="13">
        <v>23031914</v>
      </c>
      <c r="C9" s="31" t="s">
        <v>23</v>
      </c>
      <c r="D9" s="12"/>
      <c r="E9" s="13">
        <v>3</v>
      </c>
      <c r="F9" s="13">
        <v>5</v>
      </c>
      <c r="G9" s="13">
        <v>5</v>
      </c>
      <c r="H9" s="13">
        <v>2</v>
      </c>
      <c r="I9" s="28">
        <v>34</v>
      </c>
      <c r="J9" s="14">
        <f t="shared" si="0"/>
        <v>6.8</v>
      </c>
      <c r="K9" s="21"/>
      <c r="L9" s="13" t="e">
        <f>#REF!=K9/4</f>
        <v>#REF!</v>
      </c>
      <c r="M9" s="13"/>
      <c r="N9" s="15" t="e">
        <f t="shared" si="2"/>
        <v>#REF!</v>
      </c>
      <c r="O9" s="1"/>
      <c r="P9" s="1"/>
      <c r="Q9" s="1"/>
      <c r="R9" s="1"/>
      <c r="S9" s="1"/>
    </row>
    <row r="10" spans="1:19" x14ac:dyDescent="0.25">
      <c r="A10" s="10">
        <v>6</v>
      </c>
      <c r="B10" s="13">
        <v>23031915</v>
      </c>
      <c r="C10" s="31" t="s">
        <v>24</v>
      </c>
      <c r="D10" s="12"/>
      <c r="E10" s="13">
        <v>3</v>
      </c>
      <c r="F10" s="13">
        <v>5</v>
      </c>
      <c r="G10" s="13">
        <v>5</v>
      </c>
      <c r="H10" s="13">
        <v>2</v>
      </c>
      <c r="I10" s="28">
        <v>48</v>
      </c>
      <c r="J10" s="14">
        <f t="shared" si="0"/>
        <v>9.6</v>
      </c>
      <c r="K10" s="20"/>
      <c r="L10" s="13">
        <f t="shared" si="1"/>
        <v>0</v>
      </c>
      <c r="M10" s="13"/>
      <c r="N10" s="15">
        <f t="shared" si="2"/>
        <v>24.6</v>
      </c>
      <c r="O10" s="1"/>
      <c r="P10" s="1"/>
      <c r="Q10" s="1"/>
      <c r="R10" s="1"/>
      <c r="S10" s="1"/>
    </row>
    <row r="11" spans="1:19" x14ac:dyDescent="0.25">
      <c r="A11" s="10">
        <v>8</v>
      </c>
      <c r="B11" s="13">
        <v>23031917</v>
      </c>
      <c r="C11" s="31" t="s">
        <v>26</v>
      </c>
      <c r="D11" s="12"/>
      <c r="E11" s="13">
        <v>3</v>
      </c>
      <c r="F11" s="13">
        <v>5</v>
      </c>
      <c r="G11" s="13">
        <v>5</v>
      </c>
      <c r="H11" s="13">
        <v>2</v>
      </c>
      <c r="I11" s="28" t="s">
        <v>56</v>
      </c>
      <c r="J11" s="14" t="e">
        <f t="shared" si="0"/>
        <v>#VALUE!</v>
      </c>
      <c r="K11" s="22"/>
      <c r="L11" s="13">
        <f t="shared" si="1"/>
        <v>0</v>
      </c>
      <c r="M11" s="13"/>
      <c r="N11" s="15" t="e">
        <f t="shared" si="2"/>
        <v>#VALUE!</v>
      </c>
      <c r="O11" s="1"/>
      <c r="P11" s="1"/>
      <c r="Q11" s="1"/>
      <c r="R11" s="1"/>
      <c r="S11" s="1"/>
    </row>
    <row r="12" spans="1:19" x14ac:dyDescent="0.25">
      <c r="A12" s="10">
        <v>9</v>
      </c>
      <c r="B12" s="13">
        <v>23031918</v>
      </c>
      <c r="C12" s="31" t="s">
        <v>27</v>
      </c>
      <c r="D12" s="12"/>
      <c r="E12" s="13">
        <v>3</v>
      </c>
      <c r="F12" s="13">
        <v>5</v>
      </c>
      <c r="G12" s="13">
        <v>5</v>
      </c>
      <c r="H12" s="13">
        <v>2</v>
      </c>
      <c r="I12" s="28">
        <v>25</v>
      </c>
      <c r="J12" s="14">
        <f t="shared" si="0"/>
        <v>5</v>
      </c>
      <c r="K12" s="14"/>
      <c r="L12" s="13">
        <f t="shared" si="1"/>
        <v>0</v>
      </c>
      <c r="M12" s="13"/>
      <c r="N12" s="15">
        <f t="shared" si="2"/>
        <v>20</v>
      </c>
      <c r="O12" s="1"/>
      <c r="P12" s="1"/>
      <c r="Q12" s="1"/>
      <c r="R12" s="1"/>
      <c r="S12" s="1"/>
    </row>
    <row r="13" spans="1:19" x14ac:dyDescent="0.25">
      <c r="A13" s="10">
        <v>10</v>
      </c>
      <c r="B13" s="13">
        <v>23031919</v>
      </c>
      <c r="C13" s="31" t="s">
        <v>28</v>
      </c>
      <c r="D13" s="12"/>
      <c r="E13" s="13">
        <v>3</v>
      </c>
      <c r="F13" s="13">
        <v>5</v>
      </c>
      <c r="G13" s="13">
        <v>5</v>
      </c>
      <c r="H13" s="13">
        <v>2</v>
      </c>
      <c r="I13" s="28">
        <v>42</v>
      </c>
      <c r="J13" s="14">
        <f t="shared" si="0"/>
        <v>8.4</v>
      </c>
      <c r="K13" s="23"/>
      <c r="L13" s="13">
        <f t="shared" si="1"/>
        <v>0</v>
      </c>
      <c r="M13" s="13"/>
      <c r="N13" s="15">
        <f t="shared" si="2"/>
        <v>23.4</v>
      </c>
      <c r="O13" s="1"/>
      <c r="P13" s="1"/>
      <c r="Q13" s="1"/>
      <c r="R13" s="1"/>
      <c r="S13" s="1"/>
    </row>
    <row r="14" spans="1:19" x14ac:dyDescent="0.25">
      <c r="A14" s="10">
        <v>11</v>
      </c>
      <c r="B14" s="13">
        <v>23031920</v>
      </c>
      <c r="C14" s="31" t="s">
        <v>29</v>
      </c>
      <c r="D14" s="12"/>
      <c r="E14" s="13">
        <v>3</v>
      </c>
      <c r="F14" s="13">
        <v>5</v>
      </c>
      <c r="G14" s="13">
        <v>5</v>
      </c>
      <c r="H14" s="13">
        <v>2</v>
      </c>
      <c r="I14" s="28">
        <v>34</v>
      </c>
      <c r="J14" s="14">
        <f t="shared" si="0"/>
        <v>6.8</v>
      </c>
      <c r="K14" s="12"/>
      <c r="L14" s="13">
        <f t="shared" si="1"/>
        <v>0</v>
      </c>
      <c r="M14" s="12"/>
      <c r="N14" s="15">
        <f t="shared" si="2"/>
        <v>21.8</v>
      </c>
      <c r="O14" s="1"/>
      <c r="P14" s="1"/>
      <c r="Q14" s="1"/>
      <c r="R14" s="1"/>
      <c r="S14" s="1"/>
    </row>
    <row r="15" spans="1:19" x14ac:dyDescent="0.25">
      <c r="A15" s="10">
        <v>12</v>
      </c>
      <c r="B15" s="13">
        <v>23031921</v>
      </c>
      <c r="C15" s="31" t="s">
        <v>30</v>
      </c>
      <c r="D15" s="12"/>
      <c r="E15" s="13">
        <v>3</v>
      </c>
      <c r="F15" s="13">
        <v>5</v>
      </c>
      <c r="G15" s="13">
        <v>5</v>
      </c>
      <c r="H15" s="13">
        <v>2</v>
      </c>
      <c r="I15" s="28">
        <v>49</v>
      </c>
      <c r="J15" s="14">
        <f t="shared" si="0"/>
        <v>9.8000000000000007</v>
      </c>
      <c r="K15" s="24"/>
      <c r="L15" s="13">
        <f t="shared" si="1"/>
        <v>0</v>
      </c>
      <c r="M15" s="13"/>
      <c r="N15" s="15">
        <f t="shared" si="2"/>
        <v>24.8</v>
      </c>
      <c r="O15" s="1"/>
      <c r="P15" s="1"/>
      <c r="Q15" s="1"/>
      <c r="R15" s="1"/>
      <c r="S15" s="1"/>
    </row>
    <row r="16" spans="1:19" x14ac:dyDescent="0.25">
      <c r="A16" s="10">
        <v>14</v>
      </c>
      <c r="B16" s="13">
        <v>23031923</v>
      </c>
      <c r="C16" s="31" t="s">
        <v>31</v>
      </c>
      <c r="D16" s="12"/>
      <c r="E16" s="13">
        <v>3</v>
      </c>
      <c r="F16" s="13">
        <v>5</v>
      </c>
      <c r="G16" s="13">
        <v>5</v>
      </c>
      <c r="H16" s="13">
        <v>2</v>
      </c>
      <c r="I16" s="28">
        <v>14</v>
      </c>
      <c r="J16" s="14">
        <f t="shared" si="0"/>
        <v>2.8</v>
      </c>
      <c r="K16" s="12"/>
      <c r="L16" s="13">
        <f t="shared" si="1"/>
        <v>0</v>
      </c>
      <c r="M16" s="12"/>
      <c r="N16" s="15">
        <f t="shared" si="2"/>
        <v>17.8</v>
      </c>
      <c r="O16" s="1"/>
      <c r="P16" s="1"/>
      <c r="Q16" s="1"/>
      <c r="R16" s="1"/>
      <c r="S16" s="1"/>
    </row>
    <row r="17" spans="1:19" x14ac:dyDescent="0.25">
      <c r="A17" s="10">
        <v>16</v>
      </c>
      <c r="B17" s="13">
        <v>23031925</v>
      </c>
      <c r="C17" s="31" t="s">
        <v>32</v>
      </c>
      <c r="D17" s="12"/>
      <c r="E17" s="13">
        <v>3</v>
      </c>
      <c r="F17" s="13">
        <v>5</v>
      </c>
      <c r="G17" s="13">
        <v>5</v>
      </c>
      <c r="H17" s="13">
        <v>2</v>
      </c>
      <c r="I17" s="28">
        <v>46</v>
      </c>
      <c r="J17" s="14">
        <f t="shared" si="0"/>
        <v>9.1999999999999993</v>
      </c>
      <c r="K17" s="14"/>
      <c r="L17" s="13">
        <f t="shared" si="1"/>
        <v>0</v>
      </c>
      <c r="M17" s="13"/>
      <c r="N17" s="15">
        <f t="shared" si="2"/>
        <v>24.2</v>
      </c>
      <c r="O17" s="1"/>
      <c r="P17" s="1"/>
      <c r="Q17" s="1"/>
      <c r="R17" s="1"/>
      <c r="S17" s="1"/>
    </row>
    <row r="18" spans="1:19" x14ac:dyDescent="0.25">
      <c r="A18" s="10">
        <v>17</v>
      </c>
      <c r="B18" s="13">
        <v>23031926</v>
      </c>
      <c r="C18" s="31" t="s">
        <v>33</v>
      </c>
      <c r="D18" s="12"/>
      <c r="E18" s="13">
        <v>3</v>
      </c>
      <c r="F18" s="13">
        <v>5</v>
      </c>
      <c r="G18" s="13">
        <v>5</v>
      </c>
      <c r="H18" s="13">
        <v>2</v>
      </c>
      <c r="I18" s="28">
        <v>6</v>
      </c>
      <c r="J18" s="14">
        <f t="shared" si="0"/>
        <v>1.2</v>
      </c>
      <c r="K18" s="14"/>
      <c r="L18" s="13">
        <f t="shared" si="1"/>
        <v>0</v>
      </c>
      <c r="M18" s="13"/>
      <c r="N18" s="15">
        <f t="shared" si="2"/>
        <v>16.2</v>
      </c>
      <c r="O18" s="1"/>
      <c r="P18" s="1"/>
      <c r="Q18" s="1"/>
      <c r="R18" s="1"/>
      <c r="S18" s="1"/>
    </row>
    <row r="19" spans="1:19" x14ac:dyDescent="0.25">
      <c r="A19" s="10">
        <v>18</v>
      </c>
      <c r="B19" s="13">
        <v>23031927</v>
      </c>
      <c r="C19" s="31" t="s">
        <v>34</v>
      </c>
      <c r="D19" s="12"/>
      <c r="E19" s="13">
        <v>3</v>
      </c>
      <c r="F19" s="13">
        <v>5</v>
      </c>
      <c r="G19" s="13">
        <v>5</v>
      </c>
      <c r="H19" s="13">
        <v>2</v>
      </c>
      <c r="I19" s="28">
        <v>39</v>
      </c>
      <c r="J19" s="14">
        <f t="shared" si="0"/>
        <v>7.8</v>
      </c>
      <c r="K19" s="14"/>
      <c r="L19" s="13">
        <f t="shared" si="1"/>
        <v>0</v>
      </c>
      <c r="M19" s="13"/>
      <c r="N19" s="15">
        <f t="shared" si="2"/>
        <v>22.8</v>
      </c>
      <c r="O19" s="1"/>
      <c r="P19" s="1"/>
      <c r="Q19" s="1"/>
      <c r="R19" s="1"/>
      <c r="S19" s="1"/>
    </row>
    <row r="20" spans="1:19" x14ac:dyDescent="0.25">
      <c r="A20" s="10">
        <v>19</v>
      </c>
      <c r="B20" s="13">
        <v>23031928</v>
      </c>
      <c r="C20" s="31" t="s">
        <v>35</v>
      </c>
      <c r="D20" s="12"/>
      <c r="E20" s="13">
        <v>3</v>
      </c>
      <c r="F20" s="13">
        <v>5</v>
      </c>
      <c r="G20" s="13">
        <v>5</v>
      </c>
      <c r="H20" s="13">
        <v>2</v>
      </c>
      <c r="I20" s="28">
        <v>40</v>
      </c>
      <c r="J20" s="14">
        <f t="shared" si="0"/>
        <v>8</v>
      </c>
      <c r="K20" s="20"/>
      <c r="L20" s="13">
        <f t="shared" si="1"/>
        <v>0</v>
      </c>
      <c r="M20" s="13"/>
      <c r="N20" s="15">
        <f t="shared" si="2"/>
        <v>23</v>
      </c>
      <c r="O20" s="1"/>
      <c r="P20" s="1"/>
      <c r="Q20" s="1"/>
      <c r="R20" s="1"/>
      <c r="S20" s="1"/>
    </row>
    <row r="21" spans="1:19" x14ac:dyDescent="0.25">
      <c r="A21" s="10">
        <v>20</v>
      </c>
      <c r="B21" s="13">
        <v>23031929</v>
      </c>
      <c r="C21" s="31" t="s">
        <v>36</v>
      </c>
      <c r="D21" s="12"/>
      <c r="E21" s="13">
        <v>3</v>
      </c>
      <c r="F21" s="13">
        <v>5</v>
      </c>
      <c r="G21" s="13">
        <v>5</v>
      </c>
      <c r="H21" s="13">
        <v>2</v>
      </c>
      <c r="I21" s="28">
        <v>28</v>
      </c>
      <c r="J21" s="14">
        <f t="shared" si="0"/>
        <v>5.6</v>
      </c>
      <c r="K21" s="12"/>
      <c r="L21" s="13">
        <f t="shared" si="1"/>
        <v>0</v>
      </c>
      <c r="M21" s="12"/>
      <c r="N21" s="15">
        <f t="shared" si="2"/>
        <v>20.6</v>
      </c>
      <c r="O21" s="1"/>
      <c r="P21" s="1"/>
      <c r="Q21" s="1"/>
      <c r="R21" s="1"/>
      <c r="S21" s="1"/>
    </row>
    <row r="22" spans="1:19" x14ac:dyDescent="0.25">
      <c r="A22" s="10">
        <v>21</v>
      </c>
      <c r="B22" s="13">
        <v>23031930</v>
      </c>
      <c r="C22" s="31" t="s">
        <v>37</v>
      </c>
      <c r="D22" s="12"/>
      <c r="E22" s="13">
        <v>3</v>
      </c>
      <c r="F22" s="13">
        <v>5</v>
      </c>
      <c r="G22" s="13">
        <v>5</v>
      </c>
      <c r="H22" s="13">
        <v>2</v>
      </c>
      <c r="I22" s="28">
        <v>9</v>
      </c>
      <c r="J22" s="14">
        <f t="shared" si="0"/>
        <v>1.8</v>
      </c>
      <c r="K22" s="12"/>
      <c r="L22" s="13">
        <f t="shared" si="1"/>
        <v>0</v>
      </c>
      <c r="M22" s="12"/>
      <c r="N22" s="15">
        <f t="shared" si="2"/>
        <v>16.8</v>
      </c>
      <c r="O22" s="1"/>
      <c r="P22" s="1"/>
      <c r="Q22" s="1"/>
      <c r="R22" s="1"/>
      <c r="S22" s="1"/>
    </row>
    <row r="23" spans="1:19" x14ac:dyDescent="0.25">
      <c r="A23" s="10">
        <v>22</v>
      </c>
      <c r="B23" s="13">
        <v>23031931</v>
      </c>
      <c r="C23" s="31" t="s">
        <v>38</v>
      </c>
      <c r="D23" s="12"/>
      <c r="E23" s="13">
        <v>3</v>
      </c>
      <c r="F23" s="13">
        <v>5</v>
      </c>
      <c r="G23" s="13">
        <v>5</v>
      </c>
      <c r="H23" s="13">
        <v>2</v>
      </c>
      <c r="I23" s="28">
        <v>37</v>
      </c>
      <c r="J23" s="14">
        <f t="shared" si="0"/>
        <v>7.4</v>
      </c>
      <c r="K23" s="14"/>
      <c r="L23" s="13">
        <f t="shared" si="1"/>
        <v>0</v>
      </c>
      <c r="M23" s="13"/>
      <c r="N23" s="15">
        <f t="shared" si="2"/>
        <v>22.4</v>
      </c>
      <c r="O23" s="1"/>
      <c r="P23" s="1"/>
      <c r="Q23" s="1"/>
      <c r="R23" s="1"/>
      <c r="S23" s="1"/>
    </row>
    <row r="24" spans="1:19" x14ac:dyDescent="0.25">
      <c r="A24" s="10">
        <v>23</v>
      </c>
      <c r="B24" s="13">
        <v>23031932</v>
      </c>
      <c r="C24" s="31" t="s">
        <v>39</v>
      </c>
      <c r="D24" s="12"/>
      <c r="E24" s="13">
        <v>3</v>
      </c>
      <c r="F24" s="13">
        <v>5</v>
      </c>
      <c r="G24" s="13">
        <v>5</v>
      </c>
      <c r="H24" s="13">
        <v>2</v>
      </c>
      <c r="I24" s="29">
        <v>36</v>
      </c>
      <c r="J24" s="14">
        <f t="shared" si="0"/>
        <v>7.2</v>
      </c>
      <c r="K24" s="20"/>
      <c r="L24" s="13">
        <f t="shared" si="1"/>
        <v>0</v>
      </c>
      <c r="M24" s="13"/>
      <c r="N24" s="15">
        <f t="shared" si="2"/>
        <v>22.2</v>
      </c>
      <c r="O24" s="1"/>
      <c r="P24" s="1"/>
      <c r="Q24" s="1"/>
      <c r="R24" s="1"/>
      <c r="S24" s="1"/>
    </row>
    <row r="25" spans="1:19" x14ac:dyDescent="0.25">
      <c r="A25" s="10">
        <v>24</v>
      </c>
      <c r="B25" s="13">
        <v>23031933</v>
      </c>
      <c r="C25" s="31" t="s">
        <v>40</v>
      </c>
      <c r="D25" s="12"/>
      <c r="E25" s="13">
        <v>3</v>
      </c>
      <c r="F25" s="13">
        <v>5</v>
      </c>
      <c r="G25" s="13">
        <v>5</v>
      </c>
      <c r="H25" s="13">
        <v>2</v>
      </c>
      <c r="I25" s="29">
        <v>36</v>
      </c>
      <c r="J25" s="14">
        <f t="shared" si="0"/>
        <v>7.2</v>
      </c>
      <c r="K25" s="24"/>
      <c r="L25" s="13">
        <f t="shared" si="1"/>
        <v>0</v>
      </c>
      <c r="M25" s="13"/>
      <c r="N25" s="15">
        <f t="shared" si="2"/>
        <v>22.2</v>
      </c>
      <c r="O25" s="1"/>
      <c r="P25" s="1"/>
      <c r="Q25" s="1"/>
      <c r="R25" s="1"/>
      <c r="S25" s="1"/>
    </row>
    <row r="26" spans="1:19" x14ac:dyDescent="0.25">
      <c r="A26" s="10">
        <v>25</v>
      </c>
      <c r="B26" s="13">
        <v>23031934</v>
      </c>
      <c r="C26" s="31" t="s">
        <v>41</v>
      </c>
      <c r="D26" s="12"/>
      <c r="E26" s="13">
        <v>3</v>
      </c>
      <c r="F26" s="13">
        <v>5</v>
      </c>
      <c r="G26" s="13">
        <v>5</v>
      </c>
      <c r="H26" s="13">
        <v>2</v>
      </c>
      <c r="I26" s="28">
        <v>42</v>
      </c>
      <c r="J26" s="14">
        <f t="shared" si="0"/>
        <v>8.4</v>
      </c>
      <c r="K26" s="14"/>
      <c r="L26" s="13">
        <f t="shared" si="1"/>
        <v>0</v>
      </c>
      <c r="M26" s="13"/>
      <c r="N26" s="15">
        <f t="shared" si="2"/>
        <v>23.4</v>
      </c>
      <c r="O26" s="1"/>
      <c r="P26" s="1"/>
      <c r="Q26" s="1"/>
      <c r="R26" s="1"/>
      <c r="S26" s="1"/>
    </row>
    <row r="27" spans="1:19" x14ac:dyDescent="0.25">
      <c r="A27" s="10">
        <v>26</v>
      </c>
      <c r="B27" s="13">
        <v>23031935</v>
      </c>
      <c r="C27" s="31" t="s">
        <v>42</v>
      </c>
      <c r="D27" s="12"/>
      <c r="E27" s="13">
        <v>3</v>
      </c>
      <c r="F27" s="13">
        <v>5</v>
      </c>
      <c r="G27" s="13">
        <v>5</v>
      </c>
      <c r="H27" s="13">
        <v>2</v>
      </c>
      <c r="I27" s="28">
        <v>32</v>
      </c>
      <c r="J27" s="14">
        <f t="shared" si="0"/>
        <v>6.4</v>
      </c>
      <c r="K27" s="20"/>
      <c r="L27" s="13">
        <f t="shared" si="1"/>
        <v>0</v>
      </c>
      <c r="M27" s="13"/>
      <c r="N27" s="15">
        <f t="shared" si="2"/>
        <v>21.4</v>
      </c>
      <c r="O27" s="1"/>
      <c r="P27" s="1"/>
      <c r="Q27" s="1"/>
      <c r="R27" s="1"/>
      <c r="S27" s="1"/>
    </row>
    <row r="28" spans="1:19" x14ac:dyDescent="0.25">
      <c r="A28" s="10">
        <v>27</v>
      </c>
      <c r="B28" s="34">
        <v>23031936</v>
      </c>
      <c r="C28" s="47" t="s">
        <v>43</v>
      </c>
      <c r="D28" s="12"/>
      <c r="E28" s="13">
        <v>3</v>
      </c>
      <c r="F28" s="13">
        <v>5</v>
      </c>
      <c r="G28" s="13">
        <v>5</v>
      </c>
      <c r="H28" s="13">
        <v>2</v>
      </c>
      <c r="I28" s="28">
        <v>42</v>
      </c>
      <c r="J28" s="14">
        <f t="shared" si="0"/>
        <v>8.4</v>
      </c>
      <c r="K28" s="24"/>
      <c r="L28" s="13">
        <f t="shared" si="1"/>
        <v>0</v>
      </c>
      <c r="M28" s="13"/>
      <c r="N28" s="15">
        <f t="shared" si="2"/>
        <v>23.4</v>
      </c>
      <c r="O28" s="1"/>
      <c r="P28" s="1"/>
      <c r="Q28" s="1"/>
      <c r="R28" s="1"/>
      <c r="S28" s="1"/>
    </row>
    <row r="29" spans="1:19" x14ac:dyDescent="0.25">
      <c r="A29" s="10">
        <v>28</v>
      </c>
      <c r="B29" s="13">
        <v>23031937</v>
      </c>
      <c r="C29" s="31" t="s">
        <v>44</v>
      </c>
      <c r="D29" s="12"/>
      <c r="E29" s="13">
        <v>3</v>
      </c>
      <c r="F29" s="13">
        <v>5</v>
      </c>
      <c r="G29" s="13">
        <v>5</v>
      </c>
      <c r="H29" s="13">
        <v>2</v>
      </c>
      <c r="I29" s="28">
        <v>30</v>
      </c>
      <c r="J29" s="14">
        <f t="shared" si="0"/>
        <v>6</v>
      </c>
      <c r="K29" s="24"/>
      <c r="L29" s="13">
        <f t="shared" si="1"/>
        <v>0</v>
      </c>
      <c r="M29" s="13"/>
      <c r="N29" s="15">
        <f t="shared" si="2"/>
        <v>21</v>
      </c>
      <c r="O29" s="1"/>
      <c r="P29" s="1"/>
      <c r="Q29" s="1"/>
      <c r="R29" s="1"/>
      <c r="S29" s="1"/>
    </row>
    <row r="30" spans="1:19" hidden="1" x14ac:dyDescent="0.25">
      <c r="A30" s="10"/>
      <c r="B30" s="32"/>
      <c r="C30" s="33"/>
      <c r="D30" s="12"/>
      <c r="E30" s="13"/>
      <c r="F30" s="13"/>
      <c r="G30" s="13"/>
      <c r="H30" s="13"/>
      <c r="I30" s="28"/>
      <c r="J30" s="14"/>
      <c r="K30" s="24"/>
      <c r="L30" s="13"/>
      <c r="M30" s="13"/>
      <c r="N30" s="15">
        <f t="shared" si="2"/>
        <v>0</v>
      </c>
      <c r="O30" s="1"/>
      <c r="P30" s="1"/>
      <c r="Q30" s="1"/>
      <c r="R30" s="1"/>
      <c r="S30" s="1"/>
    </row>
    <row r="31" spans="1:19" hidden="1" x14ac:dyDescent="0.25">
      <c r="A31" s="10"/>
      <c r="B31" s="32"/>
      <c r="C31" s="33"/>
      <c r="D31" s="12"/>
      <c r="E31" s="13"/>
      <c r="F31" s="13"/>
      <c r="G31" s="13"/>
      <c r="H31" s="13"/>
      <c r="I31" s="28"/>
      <c r="J31" s="14"/>
      <c r="K31" s="24"/>
      <c r="L31" s="13"/>
      <c r="M31" s="13"/>
      <c r="N31" s="15">
        <f t="shared" si="2"/>
        <v>0</v>
      </c>
      <c r="O31" s="1"/>
      <c r="P31" s="1"/>
      <c r="Q31" s="1"/>
      <c r="R31" s="1"/>
      <c r="S31" s="1"/>
    </row>
    <row r="32" spans="1:19" hidden="1" x14ac:dyDescent="0.25">
      <c r="A32" s="10"/>
      <c r="B32" s="32"/>
      <c r="C32" s="33"/>
      <c r="D32" s="12"/>
      <c r="E32" s="13"/>
      <c r="F32" s="13"/>
      <c r="G32" s="13"/>
      <c r="H32" s="13"/>
      <c r="I32" s="28"/>
      <c r="J32" s="14"/>
      <c r="K32" s="20"/>
      <c r="L32" s="13"/>
      <c r="M32" s="13"/>
      <c r="N32" s="15">
        <f t="shared" si="2"/>
        <v>0</v>
      </c>
      <c r="O32" s="1"/>
      <c r="P32" s="1"/>
      <c r="Q32" s="1"/>
      <c r="R32" s="1"/>
      <c r="S32" s="1"/>
    </row>
    <row r="33" spans="1:19" hidden="1" x14ac:dyDescent="0.25">
      <c r="A33" s="10"/>
      <c r="B33" s="32"/>
      <c r="C33" s="33"/>
      <c r="D33" s="12"/>
      <c r="E33" s="13"/>
      <c r="F33" s="13"/>
      <c r="G33" s="13"/>
      <c r="H33" s="13"/>
      <c r="I33" s="30"/>
      <c r="J33" s="14"/>
      <c r="K33" s="14"/>
      <c r="L33" s="13"/>
      <c r="M33" s="13"/>
      <c r="N33" s="15">
        <f t="shared" si="2"/>
        <v>0</v>
      </c>
      <c r="O33" s="1"/>
      <c r="P33" s="1"/>
      <c r="Q33" s="1"/>
      <c r="R33" s="1"/>
      <c r="S33" s="1"/>
    </row>
    <row r="34" spans="1:19" hidden="1" x14ac:dyDescent="0.25">
      <c r="A34" s="10"/>
      <c r="B34" s="32"/>
      <c r="C34" s="33"/>
      <c r="D34" s="12"/>
      <c r="E34" s="13"/>
      <c r="F34" s="13"/>
      <c r="G34" s="13"/>
      <c r="H34" s="13"/>
      <c r="I34" s="28"/>
      <c r="J34" s="14"/>
      <c r="K34" s="11"/>
      <c r="L34" s="13"/>
      <c r="M34" s="13"/>
      <c r="N34" s="15">
        <f t="shared" si="2"/>
        <v>0</v>
      </c>
      <c r="O34" s="1"/>
      <c r="P34" s="1"/>
      <c r="Q34" s="1"/>
      <c r="R34" s="1"/>
      <c r="S34" s="1"/>
    </row>
    <row r="35" spans="1:19" hidden="1" x14ac:dyDescent="0.25">
      <c r="A35" s="10"/>
      <c r="B35" s="32"/>
      <c r="C35" s="33"/>
      <c r="D35" s="12"/>
      <c r="E35" s="13"/>
      <c r="F35" s="13"/>
      <c r="G35" s="13"/>
      <c r="H35" s="13"/>
      <c r="I35" s="28"/>
      <c r="J35" s="14"/>
      <c r="K35" s="11"/>
      <c r="L35" s="13"/>
      <c r="M35" s="13"/>
      <c r="N35" s="15">
        <f t="shared" si="2"/>
        <v>0</v>
      </c>
      <c r="O35" s="1"/>
      <c r="P35" s="1"/>
      <c r="Q35" s="1"/>
      <c r="R35" s="1"/>
      <c r="S35" s="1"/>
    </row>
    <row r="36" spans="1:19" hidden="1" x14ac:dyDescent="0.25">
      <c r="A36" s="10"/>
      <c r="B36" s="32"/>
      <c r="C36" s="33"/>
      <c r="D36" s="12"/>
      <c r="E36" s="13"/>
      <c r="F36" s="13"/>
      <c r="G36" s="13"/>
      <c r="H36" s="13"/>
      <c r="I36" s="13"/>
      <c r="J36" s="14"/>
      <c r="K36" s="11"/>
      <c r="L36" s="13"/>
      <c r="M36" s="13"/>
      <c r="N36" s="15">
        <f t="shared" si="2"/>
        <v>0</v>
      </c>
      <c r="O36" s="1"/>
      <c r="P36" s="1"/>
      <c r="Q36" s="1"/>
      <c r="R36" s="1"/>
      <c r="S36" s="1"/>
    </row>
    <row r="37" spans="1:19" hidden="1" x14ac:dyDescent="0.25">
      <c r="A37" s="10"/>
      <c r="B37" s="32"/>
      <c r="C37" s="33"/>
      <c r="D37" s="12"/>
      <c r="E37" s="13"/>
      <c r="F37" s="13"/>
      <c r="G37" s="13"/>
      <c r="H37" s="13"/>
      <c r="I37" s="28"/>
      <c r="J37" s="14"/>
      <c r="K37" s="11"/>
      <c r="L37" s="13"/>
      <c r="M37" s="13"/>
      <c r="N37" s="15">
        <f t="shared" si="2"/>
        <v>0</v>
      </c>
      <c r="O37" s="1"/>
      <c r="P37" s="1"/>
      <c r="Q37" s="1"/>
      <c r="R37" s="1"/>
      <c r="S37" s="1"/>
    </row>
    <row r="38" spans="1:19" hidden="1" x14ac:dyDescent="0.25">
      <c r="A38" s="10"/>
      <c r="B38" s="32"/>
      <c r="C38" s="33"/>
      <c r="D38" s="12"/>
      <c r="E38" s="13"/>
      <c r="F38" s="13"/>
      <c r="G38" s="13"/>
      <c r="H38" s="13"/>
      <c r="I38" s="28"/>
      <c r="J38" s="14"/>
      <c r="K38" s="11"/>
      <c r="L38" s="13"/>
      <c r="M38" s="13"/>
      <c r="N38" s="15">
        <f t="shared" si="2"/>
        <v>0</v>
      </c>
      <c r="O38" s="1"/>
      <c r="P38" s="1"/>
      <c r="Q38" s="1"/>
      <c r="R38" s="1"/>
      <c r="S38" s="1"/>
    </row>
    <row r="39" spans="1:19" hidden="1" x14ac:dyDescent="0.25">
      <c r="A39" s="10"/>
      <c r="B39" s="32"/>
      <c r="C39" s="33"/>
      <c r="D39" s="11"/>
      <c r="E39" s="13"/>
      <c r="F39" s="13"/>
      <c r="G39" s="13"/>
      <c r="H39" s="13"/>
      <c r="I39" s="28"/>
      <c r="J39" s="14"/>
      <c r="K39" s="11"/>
      <c r="L39" s="13"/>
      <c r="M39" s="13"/>
      <c r="N39" s="15">
        <f t="shared" si="2"/>
        <v>0</v>
      </c>
      <c r="O39" s="1"/>
      <c r="P39" s="1"/>
      <c r="Q39" s="1"/>
      <c r="R39" s="1"/>
      <c r="S39" s="1"/>
    </row>
    <row r="40" spans="1:19" hidden="1" x14ac:dyDescent="0.25">
      <c r="A40" s="10"/>
      <c r="B40" s="32"/>
      <c r="C40" s="33"/>
      <c r="D40" s="11"/>
      <c r="E40" s="13"/>
      <c r="F40" s="13"/>
      <c r="G40" s="13"/>
      <c r="H40" s="13"/>
      <c r="I40" s="28"/>
      <c r="J40" s="14"/>
      <c r="K40" s="11"/>
      <c r="L40" s="13"/>
      <c r="M40" s="13"/>
      <c r="N40" s="15">
        <f t="shared" si="2"/>
        <v>0</v>
      </c>
      <c r="O40" s="1"/>
      <c r="P40" s="1"/>
      <c r="Q40" s="1"/>
      <c r="R40" s="1"/>
      <c r="S40" s="1"/>
    </row>
    <row r="41" spans="1:19" hidden="1" x14ac:dyDescent="0.25">
      <c r="A41" s="10"/>
      <c r="B41" s="32"/>
      <c r="C41" s="33"/>
      <c r="D41" s="11"/>
      <c r="E41" s="13"/>
      <c r="F41" s="13"/>
      <c r="G41" s="13"/>
      <c r="H41" s="13"/>
      <c r="I41" s="13"/>
      <c r="J41" s="14"/>
      <c r="K41" s="11"/>
      <c r="L41" s="13"/>
      <c r="M41" s="13"/>
      <c r="N41" s="15">
        <f t="shared" si="2"/>
        <v>0</v>
      </c>
      <c r="O41" s="1"/>
      <c r="P41" s="1"/>
      <c r="Q41" s="1"/>
      <c r="R41" s="1"/>
      <c r="S41" s="1"/>
    </row>
    <row r="42" spans="1:19" hidden="1" x14ac:dyDescent="0.25">
      <c r="A42" s="10"/>
      <c r="B42" s="32"/>
      <c r="C42" s="33"/>
      <c r="D42" s="11"/>
      <c r="E42" s="13"/>
      <c r="F42" s="13"/>
      <c r="G42" s="13"/>
      <c r="H42" s="13"/>
      <c r="I42" s="28"/>
      <c r="J42" s="14"/>
      <c r="K42" s="11"/>
      <c r="L42" s="13"/>
      <c r="M42" s="13"/>
      <c r="N42" s="15">
        <f t="shared" si="2"/>
        <v>0</v>
      </c>
      <c r="O42" s="1"/>
      <c r="P42" s="1"/>
      <c r="Q42" s="1"/>
      <c r="R42" s="1"/>
      <c r="S42" s="1"/>
    </row>
    <row r="43" spans="1:19" hidden="1" x14ac:dyDescent="0.25">
      <c r="A43" s="10"/>
      <c r="B43" s="32"/>
      <c r="C43" s="33"/>
      <c r="D43" s="11"/>
      <c r="E43" s="13"/>
      <c r="F43" s="13"/>
      <c r="G43" s="13"/>
      <c r="H43" s="13"/>
      <c r="I43" s="28"/>
      <c r="J43" s="14"/>
      <c r="K43" s="11"/>
      <c r="L43" s="13"/>
      <c r="M43" s="13"/>
      <c r="N43" s="15">
        <f t="shared" si="2"/>
        <v>0</v>
      </c>
      <c r="O43" s="1"/>
      <c r="P43" s="1"/>
      <c r="Q43" s="1"/>
      <c r="R43" s="1"/>
      <c r="S43" s="1"/>
    </row>
    <row r="44" spans="1:19" hidden="1" x14ac:dyDescent="0.25">
      <c r="A44" s="10"/>
      <c r="B44" s="32"/>
      <c r="C44" s="33"/>
      <c r="D44" s="11"/>
      <c r="E44" s="13"/>
      <c r="F44" s="13"/>
      <c r="G44" s="13"/>
      <c r="H44" s="13"/>
      <c r="I44" s="26"/>
      <c r="J44" s="14"/>
      <c r="K44" s="11"/>
      <c r="L44" s="13"/>
      <c r="M44" s="13"/>
      <c r="N44" s="15">
        <f t="shared" si="2"/>
        <v>0</v>
      </c>
      <c r="O44" s="1"/>
      <c r="P44" s="1"/>
      <c r="Q44" s="1"/>
      <c r="R44" s="1"/>
      <c r="S44" s="1"/>
    </row>
    <row r="45" spans="1:19" hidden="1" x14ac:dyDescent="0.25">
      <c r="A45" s="10"/>
      <c r="B45" s="32"/>
      <c r="C45" s="33"/>
      <c r="D45" s="11"/>
      <c r="E45" s="13"/>
      <c r="F45" s="13"/>
      <c r="G45" s="13"/>
      <c r="H45" s="13"/>
      <c r="I45" s="11"/>
      <c r="J45" s="14"/>
      <c r="K45" s="11"/>
      <c r="L45" s="13"/>
      <c r="M45" s="13"/>
      <c r="N45" s="27">
        <f t="shared" si="2"/>
        <v>0</v>
      </c>
      <c r="O45" s="1"/>
      <c r="P45" s="1"/>
      <c r="Q45" s="1"/>
      <c r="R45" s="1"/>
      <c r="S45" s="1"/>
    </row>
    <row r="46" spans="1:19" hidden="1" x14ac:dyDescent="0.25">
      <c r="A46" s="10"/>
      <c r="B46" s="32"/>
      <c r="C46" s="33"/>
      <c r="D46" s="11"/>
      <c r="E46" s="13"/>
      <c r="F46" s="13"/>
      <c r="G46" s="13"/>
      <c r="H46" s="13"/>
      <c r="I46" s="11"/>
      <c r="J46" s="14"/>
      <c r="K46" s="11"/>
      <c r="L46" s="13"/>
      <c r="M46" s="13"/>
      <c r="N46" s="27">
        <f t="shared" si="2"/>
        <v>0</v>
      </c>
      <c r="O46" s="1"/>
      <c r="P46" s="1"/>
      <c r="Q46" s="1"/>
      <c r="R46" s="1"/>
      <c r="S46" s="1"/>
    </row>
    <row r="47" spans="1:19" hidden="1" x14ac:dyDescent="0.25">
      <c r="A47" s="10"/>
      <c r="B47" s="32"/>
      <c r="C47" s="33"/>
      <c r="D47" s="11"/>
      <c r="E47" s="13"/>
      <c r="F47" s="13"/>
      <c r="G47" s="13"/>
      <c r="H47" s="13"/>
      <c r="I47" s="11"/>
      <c r="J47" s="14"/>
      <c r="K47" s="11"/>
      <c r="L47" s="13"/>
      <c r="M47" s="13"/>
      <c r="N47" s="27">
        <f t="shared" si="2"/>
        <v>0</v>
      </c>
      <c r="O47" s="1"/>
      <c r="P47" s="1"/>
      <c r="Q47" s="1"/>
      <c r="R47" s="1"/>
      <c r="S47" s="1"/>
    </row>
    <row r="48" spans="1:19" hidden="1" x14ac:dyDescent="0.25">
      <c r="A48" s="10"/>
      <c r="B48" s="32"/>
      <c r="C48" s="33"/>
      <c r="D48" s="11"/>
      <c r="E48" s="13"/>
      <c r="F48" s="13"/>
      <c r="G48" s="13"/>
      <c r="H48" s="13"/>
      <c r="I48" s="11"/>
      <c r="J48" s="14"/>
      <c r="K48" s="11"/>
      <c r="L48" s="13"/>
      <c r="M48" s="13"/>
      <c r="N48" s="27">
        <f t="shared" si="2"/>
        <v>0</v>
      </c>
      <c r="O48" s="1"/>
      <c r="P48" s="1"/>
      <c r="Q48" s="1"/>
      <c r="R48" s="1"/>
      <c r="S48" s="1"/>
    </row>
    <row r="49" spans="1:19" hidden="1" x14ac:dyDescent="0.25">
      <c r="A49" s="10"/>
      <c r="B49" s="32"/>
      <c r="C49" s="33"/>
      <c r="D49" s="11"/>
      <c r="E49" s="13"/>
      <c r="F49" s="13"/>
      <c r="G49" s="13"/>
      <c r="H49" s="13"/>
      <c r="I49" s="11"/>
      <c r="J49" s="14"/>
      <c r="K49" s="11"/>
      <c r="L49" s="13"/>
      <c r="M49" s="13"/>
      <c r="N49" s="27">
        <f t="shared" si="2"/>
        <v>0</v>
      </c>
      <c r="O49" s="1"/>
      <c r="P49" s="1"/>
      <c r="Q49" s="1"/>
      <c r="R49" s="1"/>
      <c r="S49" s="1"/>
    </row>
    <row r="50" spans="1:19" hidden="1" x14ac:dyDescent="0.25">
      <c r="A50" s="10"/>
      <c r="B50" s="32"/>
      <c r="C50" s="33"/>
      <c r="D50" s="11"/>
      <c r="E50" s="13"/>
      <c r="F50" s="13"/>
      <c r="G50" s="13"/>
      <c r="H50" s="13"/>
      <c r="I50" s="26"/>
      <c r="J50" s="14"/>
      <c r="K50" s="11"/>
      <c r="L50" s="13"/>
      <c r="M50" s="13"/>
      <c r="N50" s="27">
        <f t="shared" si="2"/>
        <v>0</v>
      </c>
      <c r="O50" s="1"/>
      <c r="P50" s="1"/>
      <c r="Q50" s="1"/>
      <c r="R50" s="1"/>
      <c r="S50" s="1"/>
    </row>
    <row r="51" spans="1:19" hidden="1" x14ac:dyDescent="0.25">
      <c r="A51" s="10"/>
      <c r="B51" s="32"/>
      <c r="C51" s="33"/>
      <c r="D51" s="11"/>
      <c r="E51" s="13"/>
      <c r="F51" s="13"/>
      <c r="G51" s="13"/>
      <c r="H51" s="13"/>
      <c r="I51" s="26"/>
      <c r="J51" s="14"/>
      <c r="K51" s="11"/>
      <c r="L51" s="13"/>
      <c r="M51" s="13"/>
      <c r="N51" s="27">
        <f t="shared" si="2"/>
        <v>0</v>
      </c>
      <c r="O51" s="1"/>
      <c r="P51" s="1"/>
      <c r="Q51" s="1"/>
      <c r="R51" s="1"/>
      <c r="S51" s="1"/>
    </row>
    <row r="52" spans="1:19" hidden="1" x14ac:dyDescent="0.25">
      <c r="A52" s="10"/>
      <c r="B52" s="32"/>
      <c r="C52" s="33"/>
      <c r="D52" s="11"/>
      <c r="E52" s="13"/>
      <c r="F52" s="13"/>
      <c r="G52" s="13"/>
      <c r="H52" s="13"/>
      <c r="I52" s="26"/>
      <c r="J52" s="14"/>
      <c r="K52" s="11"/>
      <c r="L52" s="13"/>
      <c r="M52" s="13"/>
      <c r="N52" s="27">
        <f t="shared" si="2"/>
        <v>0</v>
      </c>
      <c r="O52" s="1"/>
      <c r="P52" s="1"/>
      <c r="Q52" s="1"/>
      <c r="R52" s="1"/>
      <c r="S52" s="1"/>
    </row>
    <row r="53" spans="1:19" hidden="1" x14ac:dyDescent="0.25">
      <c r="A53" s="10"/>
      <c r="B53" s="32"/>
      <c r="C53" s="33"/>
      <c r="D53" s="11"/>
      <c r="E53" s="13"/>
      <c r="F53" s="13"/>
      <c r="G53" s="13"/>
      <c r="H53" s="13"/>
      <c r="I53" s="26"/>
      <c r="J53" s="14"/>
      <c r="K53" s="11"/>
      <c r="L53" s="13"/>
      <c r="M53" s="13"/>
      <c r="N53" s="27">
        <f t="shared" si="2"/>
        <v>0</v>
      </c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6" t="s">
        <v>17</v>
      </c>
      <c r="M56" s="56"/>
      <c r="N56" s="1"/>
    </row>
    <row r="57" spans="1:1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6" t="s">
        <v>18</v>
      </c>
      <c r="M57" s="56"/>
      <c r="N57" s="1"/>
    </row>
    <row r="58" spans="1:1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mergeCells count="7">
    <mergeCell ref="L56:M56"/>
    <mergeCell ref="L57:M57"/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6"/>
  <sheetViews>
    <sheetView workbookViewId="0">
      <selection activeCell="M34" sqref="M34"/>
    </sheetView>
  </sheetViews>
  <sheetFormatPr defaultRowHeight="15" x14ac:dyDescent="0.25"/>
  <cols>
    <col min="3" max="3" width="29.42578125" customWidth="1"/>
    <col min="4" max="4" width="13" customWidth="1"/>
    <col min="9" max="9" width="10.42578125" customWidth="1"/>
    <col min="11" max="11" width="11.28515625" customWidth="1"/>
    <col min="12" max="12" width="11.7109375" customWidth="1"/>
    <col min="13" max="13" width="12.5703125" customWidth="1"/>
  </cols>
  <sheetData>
    <row r="1" spans="1:20" ht="16.5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1"/>
      <c r="P1" s="1"/>
      <c r="Q1" s="1"/>
      <c r="R1" s="1"/>
      <c r="S1" s="1"/>
      <c r="T1" s="1"/>
    </row>
    <row r="2" spans="1:20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"/>
      <c r="P2" s="1"/>
      <c r="Q2" s="1"/>
      <c r="R2" s="1"/>
      <c r="S2" s="1"/>
      <c r="T2" s="1"/>
    </row>
    <row r="3" spans="1:20" ht="19.5" x14ac:dyDescent="0.3">
      <c r="A3" s="59" t="s">
        <v>54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1"/>
      <c r="P3" s="1"/>
      <c r="Q3" s="1"/>
      <c r="R3" s="1"/>
      <c r="S3" s="1"/>
      <c r="T3" s="1"/>
    </row>
    <row r="4" spans="1:20" ht="16.5" thickBot="1" x14ac:dyDescent="0.3">
      <c r="A4" s="60" t="s">
        <v>19</v>
      </c>
      <c r="B4" s="61"/>
      <c r="C4" s="62" t="s">
        <v>46</v>
      </c>
      <c r="D4" s="62"/>
      <c r="E4" s="63"/>
      <c r="F4" s="2" t="s">
        <v>55</v>
      </c>
      <c r="G4" s="3"/>
      <c r="H4" s="4"/>
      <c r="I4" s="3"/>
      <c r="J4" s="3"/>
      <c r="K4" s="3"/>
      <c r="L4" s="5" t="s">
        <v>2</v>
      </c>
      <c r="M4" s="3"/>
      <c r="N4" s="3"/>
      <c r="O4" s="1"/>
      <c r="P4" s="1"/>
      <c r="Q4" s="1"/>
      <c r="R4" s="1"/>
      <c r="S4" s="1"/>
      <c r="T4" s="1"/>
    </row>
    <row r="5" spans="1:20" ht="57" thickBot="1" x14ac:dyDescent="0.3">
      <c r="A5" s="6" t="s">
        <v>3</v>
      </c>
      <c r="B5" s="7" t="s">
        <v>4</v>
      </c>
      <c r="C5" s="51" t="s">
        <v>5</v>
      </c>
      <c r="D5" s="18" t="s">
        <v>48</v>
      </c>
      <c r="E5" s="17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6" t="s">
        <v>12</v>
      </c>
      <c r="K5" s="18" t="s">
        <v>13</v>
      </c>
      <c r="L5" s="17" t="s">
        <v>14</v>
      </c>
      <c r="M5" s="9" t="s">
        <v>15</v>
      </c>
      <c r="N5" s="9" t="s">
        <v>16</v>
      </c>
      <c r="O5" s="1"/>
      <c r="P5" s="1"/>
      <c r="Q5" s="1"/>
      <c r="R5" s="1"/>
      <c r="S5" s="1"/>
      <c r="T5" s="1"/>
    </row>
    <row r="6" spans="1:20" x14ac:dyDescent="0.25">
      <c r="A6" s="10">
        <v>1</v>
      </c>
      <c r="B6" s="13">
        <v>23031910</v>
      </c>
      <c r="C6" s="31" t="s">
        <v>20</v>
      </c>
      <c r="D6" s="31"/>
      <c r="E6" s="13">
        <v>3</v>
      </c>
      <c r="F6" s="13">
        <v>5</v>
      </c>
      <c r="G6" s="13">
        <v>5</v>
      </c>
      <c r="H6" s="13">
        <v>2</v>
      </c>
      <c r="I6" s="50">
        <v>29</v>
      </c>
      <c r="J6" s="14">
        <f>I6/5</f>
        <v>5.8</v>
      </c>
      <c r="K6" s="19">
        <v>60</v>
      </c>
      <c r="L6" s="13">
        <f>K6/4</f>
        <v>15</v>
      </c>
      <c r="M6" s="13"/>
      <c r="N6" s="15">
        <f>E6+F6+G6+H6+J6+L6+M6</f>
        <v>35.799999999999997</v>
      </c>
      <c r="O6" s="1"/>
      <c r="P6" s="1"/>
      <c r="Q6" s="1"/>
      <c r="R6" s="1"/>
      <c r="S6" s="1"/>
      <c r="T6" s="1"/>
    </row>
    <row r="7" spans="1:20" x14ac:dyDescent="0.25">
      <c r="A7" s="10">
        <v>2</v>
      </c>
      <c r="B7" s="13">
        <v>23031912</v>
      </c>
      <c r="C7" s="31" t="s">
        <v>21</v>
      </c>
      <c r="D7" s="31"/>
      <c r="E7" s="13">
        <v>3</v>
      </c>
      <c r="F7" s="13">
        <v>5</v>
      </c>
      <c r="G7" s="13">
        <v>5</v>
      </c>
      <c r="H7" s="13">
        <v>2</v>
      </c>
      <c r="I7" s="50">
        <v>45</v>
      </c>
      <c r="J7" s="14">
        <f t="shared" ref="J7:J29" si="0">I7/5</f>
        <v>9</v>
      </c>
      <c r="K7" s="14">
        <v>82</v>
      </c>
      <c r="L7" s="13">
        <f t="shared" ref="L7:L29" si="1">K7/4</f>
        <v>20.5</v>
      </c>
      <c r="M7" s="13"/>
      <c r="N7" s="15">
        <f t="shared" ref="N7:N29" si="2">E7+F7+G7+H7+J7+L7+M7</f>
        <v>44.5</v>
      </c>
      <c r="O7" s="1"/>
      <c r="P7" s="1"/>
      <c r="Q7" s="1"/>
      <c r="R7" s="1"/>
      <c r="S7" s="1"/>
      <c r="T7" s="1"/>
    </row>
    <row r="8" spans="1:20" x14ac:dyDescent="0.25">
      <c r="A8" s="10">
        <v>3</v>
      </c>
      <c r="B8" s="13">
        <v>23031913</v>
      </c>
      <c r="C8" s="31" t="s">
        <v>22</v>
      </c>
      <c r="D8" s="31"/>
      <c r="E8" s="13">
        <v>3</v>
      </c>
      <c r="F8" s="13">
        <v>5</v>
      </c>
      <c r="G8" s="13">
        <v>5</v>
      </c>
      <c r="H8" s="13">
        <v>2</v>
      </c>
      <c r="I8" s="50">
        <v>36</v>
      </c>
      <c r="J8" s="14">
        <f t="shared" si="0"/>
        <v>7.2</v>
      </c>
      <c r="K8" s="21">
        <v>69</v>
      </c>
      <c r="L8" s="13">
        <f t="shared" si="1"/>
        <v>17.25</v>
      </c>
      <c r="M8" s="13"/>
      <c r="N8" s="15">
        <f t="shared" si="2"/>
        <v>39.450000000000003</v>
      </c>
      <c r="O8" s="1"/>
      <c r="P8" s="1"/>
      <c r="Q8" s="1"/>
      <c r="R8" s="1"/>
      <c r="S8" s="1"/>
      <c r="T8" s="1"/>
    </row>
    <row r="9" spans="1:20" x14ac:dyDescent="0.25">
      <c r="A9" s="10">
        <v>4</v>
      </c>
      <c r="B9" s="13">
        <v>23031914</v>
      </c>
      <c r="C9" s="31" t="s">
        <v>23</v>
      </c>
      <c r="D9" s="31"/>
      <c r="E9" s="13">
        <v>3</v>
      </c>
      <c r="F9" s="13">
        <v>5</v>
      </c>
      <c r="G9" s="13">
        <v>5</v>
      </c>
      <c r="H9" s="13">
        <v>2</v>
      </c>
      <c r="I9" s="50">
        <v>18</v>
      </c>
      <c r="J9" s="14">
        <f t="shared" si="0"/>
        <v>3.6</v>
      </c>
      <c r="K9" s="21">
        <v>88</v>
      </c>
      <c r="L9" s="13">
        <f t="shared" si="1"/>
        <v>22</v>
      </c>
      <c r="M9" s="13"/>
      <c r="N9" s="15">
        <f t="shared" si="2"/>
        <v>40.6</v>
      </c>
      <c r="O9" s="1"/>
      <c r="P9" s="1"/>
      <c r="Q9" s="1"/>
      <c r="R9" s="1"/>
      <c r="S9" s="1"/>
      <c r="T9" s="1"/>
    </row>
    <row r="10" spans="1:20" x14ac:dyDescent="0.25">
      <c r="A10" s="10">
        <v>5</v>
      </c>
      <c r="B10" s="13">
        <v>23031915</v>
      </c>
      <c r="C10" s="31" t="s">
        <v>24</v>
      </c>
      <c r="D10" s="31"/>
      <c r="E10" s="13">
        <v>3</v>
      </c>
      <c r="F10" s="13">
        <v>5</v>
      </c>
      <c r="G10" s="13">
        <v>5</v>
      </c>
      <c r="H10" s="13">
        <v>2</v>
      </c>
      <c r="I10" s="50">
        <v>46</v>
      </c>
      <c r="J10" s="14">
        <f t="shared" si="0"/>
        <v>9.1999999999999993</v>
      </c>
      <c r="K10" s="20">
        <v>37</v>
      </c>
      <c r="L10" s="13">
        <f t="shared" si="1"/>
        <v>9.25</v>
      </c>
      <c r="M10" s="13"/>
      <c r="N10" s="15">
        <f t="shared" si="2"/>
        <v>33.450000000000003</v>
      </c>
      <c r="O10" s="1"/>
      <c r="P10" s="1"/>
      <c r="Q10" s="1"/>
      <c r="R10" s="1"/>
      <c r="S10" s="1"/>
      <c r="T10" s="1"/>
    </row>
    <row r="11" spans="1:20" x14ac:dyDescent="0.25">
      <c r="A11" s="10">
        <v>6</v>
      </c>
      <c r="B11" s="13">
        <v>23031917</v>
      </c>
      <c r="C11" s="31" t="s">
        <v>26</v>
      </c>
      <c r="D11" s="31"/>
      <c r="E11" s="13">
        <v>3</v>
      </c>
      <c r="F11" s="13">
        <v>5</v>
      </c>
      <c r="G11" s="13">
        <v>5</v>
      </c>
      <c r="H11" s="13">
        <v>2</v>
      </c>
      <c r="I11" s="50" t="s">
        <v>56</v>
      </c>
      <c r="J11" s="14" t="e">
        <f t="shared" si="0"/>
        <v>#VALUE!</v>
      </c>
      <c r="K11" s="20">
        <v>51</v>
      </c>
      <c r="L11" s="13">
        <f t="shared" si="1"/>
        <v>12.75</v>
      </c>
      <c r="M11" s="13"/>
      <c r="N11" s="15" t="e">
        <f t="shared" si="2"/>
        <v>#VALUE!</v>
      </c>
      <c r="O11" s="1"/>
      <c r="P11" s="1"/>
      <c r="Q11" s="1"/>
      <c r="R11" s="1"/>
      <c r="S11" s="1"/>
      <c r="T11" s="1"/>
    </row>
    <row r="12" spans="1:20" x14ac:dyDescent="0.25">
      <c r="A12" s="10">
        <v>7</v>
      </c>
      <c r="B12" s="13">
        <v>23031918</v>
      </c>
      <c r="C12" s="31" t="s">
        <v>27</v>
      </c>
      <c r="D12" s="31"/>
      <c r="E12" s="13">
        <v>3</v>
      </c>
      <c r="F12" s="13">
        <v>5</v>
      </c>
      <c r="G12" s="13">
        <v>5</v>
      </c>
      <c r="H12" s="13">
        <v>2</v>
      </c>
      <c r="I12" s="50">
        <v>29</v>
      </c>
      <c r="J12" s="14">
        <f t="shared" si="0"/>
        <v>5.8</v>
      </c>
      <c r="K12" s="14">
        <v>40</v>
      </c>
      <c r="L12" s="13">
        <f t="shared" si="1"/>
        <v>10</v>
      </c>
      <c r="M12" s="13"/>
      <c r="N12" s="15">
        <f t="shared" si="2"/>
        <v>30.8</v>
      </c>
      <c r="O12" s="1"/>
      <c r="P12" s="1"/>
      <c r="Q12" s="1"/>
      <c r="R12" s="1"/>
      <c r="S12" s="1"/>
      <c r="T12" s="1"/>
    </row>
    <row r="13" spans="1:20" x14ac:dyDescent="0.25">
      <c r="A13" s="10">
        <v>8</v>
      </c>
      <c r="B13" s="13">
        <v>23031919</v>
      </c>
      <c r="C13" s="31" t="s">
        <v>28</v>
      </c>
      <c r="D13" s="31"/>
      <c r="E13" s="13">
        <v>3</v>
      </c>
      <c r="F13" s="13">
        <v>5</v>
      </c>
      <c r="G13" s="13">
        <v>5</v>
      </c>
      <c r="H13" s="13">
        <v>2</v>
      </c>
      <c r="I13" s="50">
        <v>46</v>
      </c>
      <c r="J13" s="14">
        <f t="shared" si="0"/>
        <v>9.1999999999999993</v>
      </c>
      <c r="K13" s="23">
        <v>52</v>
      </c>
      <c r="L13" s="13">
        <f t="shared" si="1"/>
        <v>13</v>
      </c>
      <c r="M13" s="13"/>
      <c r="N13" s="15">
        <f t="shared" si="2"/>
        <v>37.200000000000003</v>
      </c>
      <c r="O13" s="1"/>
      <c r="P13" s="1"/>
      <c r="Q13" s="1"/>
      <c r="R13" s="1"/>
      <c r="S13" s="1"/>
      <c r="T13" s="1"/>
    </row>
    <row r="14" spans="1:20" s="25" customFormat="1" x14ac:dyDescent="0.25">
      <c r="A14" s="10">
        <v>9</v>
      </c>
      <c r="B14" s="13">
        <v>23031920</v>
      </c>
      <c r="C14" s="31" t="s">
        <v>29</v>
      </c>
      <c r="D14" s="31"/>
      <c r="E14" s="13">
        <v>3</v>
      </c>
      <c r="F14" s="13">
        <v>5</v>
      </c>
      <c r="G14" s="13">
        <v>5</v>
      </c>
      <c r="H14" s="13">
        <v>2</v>
      </c>
      <c r="I14" s="50">
        <v>35</v>
      </c>
      <c r="J14" s="14">
        <f t="shared" si="0"/>
        <v>7</v>
      </c>
      <c r="K14" s="12">
        <v>53</v>
      </c>
      <c r="L14" s="13">
        <f t="shared" si="1"/>
        <v>13.25</v>
      </c>
      <c r="M14" s="12"/>
      <c r="N14" s="15">
        <f t="shared" si="2"/>
        <v>35.25</v>
      </c>
    </row>
    <row r="15" spans="1:20" x14ac:dyDescent="0.25">
      <c r="A15" s="10">
        <v>10</v>
      </c>
      <c r="B15" s="13">
        <v>23031921</v>
      </c>
      <c r="C15" s="31" t="s">
        <v>30</v>
      </c>
      <c r="D15" s="31"/>
      <c r="E15" s="13">
        <v>3</v>
      </c>
      <c r="F15" s="13">
        <v>5</v>
      </c>
      <c r="G15" s="13">
        <v>5</v>
      </c>
      <c r="H15" s="13">
        <v>2</v>
      </c>
      <c r="I15" s="50">
        <v>47</v>
      </c>
      <c r="J15" s="14">
        <f t="shared" si="0"/>
        <v>9.4</v>
      </c>
      <c r="K15" s="24">
        <v>90</v>
      </c>
      <c r="L15" s="13">
        <f t="shared" si="1"/>
        <v>22.5</v>
      </c>
      <c r="M15" s="13"/>
      <c r="N15" s="15">
        <f t="shared" si="2"/>
        <v>46.9</v>
      </c>
      <c r="O15" s="1"/>
      <c r="P15" s="1"/>
      <c r="Q15" s="1"/>
      <c r="R15" s="1"/>
      <c r="S15" s="1"/>
      <c r="T15" s="1"/>
    </row>
    <row r="16" spans="1:20" s="25" customFormat="1" x14ac:dyDescent="0.25">
      <c r="A16" s="10">
        <v>11</v>
      </c>
      <c r="B16" s="13">
        <v>23031923</v>
      </c>
      <c r="C16" s="31" t="s">
        <v>31</v>
      </c>
      <c r="D16" s="31"/>
      <c r="E16" s="13">
        <v>3</v>
      </c>
      <c r="F16" s="13">
        <v>5</v>
      </c>
      <c r="G16" s="13">
        <v>5</v>
      </c>
      <c r="H16" s="13">
        <v>2</v>
      </c>
      <c r="I16" s="50" t="s">
        <v>56</v>
      </c>
      <c r="J16" s="14" t="e">
        <f t="shared" si="0"/>
        <v>#VALUE!</v>
      </c>
      <c r="K16" s="12">
        <v>53</v>
      </c>
      <c r="L16" s="13">
        <f t="shared" si="1"/>
        <v>13.25</v>
      </c>
      <c r="M16" s="12"/>
      <c r="N16" s="15" t="e">
        <f t="shared" si="2"/>
        <v>#VALUE!</v>
      </c>
    </row>
    <row r="17" spans="1:20" x14ac:dyDescent="0.25">
      <c r="A17" s="10">
        <v>12</v>
      </c>
      <c r="B17" s="13">
        <v>23031925</v>
      </c>
      <c r="C17" s="31" t="s">
        <v>32</v>
      </c>
      <c r="D17" s="31"/>
      <c r="E17" s="13">
        <v>3</v>
      </c>
      <c r="F17" s="13">
        <v>5</v>
      </c>
      <c r="G17" s="13">
        <v>5</v>
      </c>
      <c r="H17" s="13">
        <v>2</v>
      </c>
      <c r="I17" s="50">
        <v>46</v>
      </c>
      <c r="J17" s="14">
        <f t="shared" si="0"/>
        <v>9.1999999999999993</v>
      </c>
      <c r="K17" s="14">
        <v>74</v>
      </c>
      <c r="L17" s="13">
        <f t="shared" si="1"/>
        <v>18.5</v>
      </c>
      <c r="M17" s="13"/>
      <c r="N17" s="15">
        <f t="shared" si="2"/>
        <v>42.7</v>
      </c>
      <c r="O17" s="1"/>
      <c r="P17" s="1"/>
      <c r="Q17" s="1"/>
      <c r="R17" s="1"/>
      <c r="S17" s="1"/>
      <c r="T17" s="1"/>
    </row>
    <row r="18" spans="1:20" x14ac:dyDescent="0.25">
      <c r="A18" s="10">
        <v>13</v>
      </c>
      <c r="B18" s="13">
        <v>23031926</v>
      </c>
      <c r="C18" s="31" t="s">
        <v>33</v>
      </c>
      <c r="D18" s="31"/>
      <c r="E18" s="13">
        <v>3</v>
      </c>
      <c r="F18" s="13">
        <v>5</v>
      </c>
      <c r="G18" s="13">
        <v>5</v>
      </c>
      <c r="H18" s="13">
        <v>2</v>
      </c>
      <c r="I18" s="50" t="s">
        <v>56</v>
      </c>
      <c r="J18" s="14" t="e">
        <f t="shared" si="0"/>
        <v>#VALUE!</v>
      </c>
      <c r="K18" s="14">
        <v>14</v>
      </c>
      <c r="L18" s="13">
        <f t="shared" si="1"/>
        <v>3.5</v>
      </c>
      <c r="M18" s="13"/>
      <c r="N18" s="15" t="e">
        <f t="shared" si="2"/>
        <v>#VALUE!</v>
      </c>
      <c r="O18" s="1"/>
      <c r="P18" s="1"/>
      <c r="Q18" s="1"/>
      <c r="R18" s="1"/>
      <c r="S18" s="1"/>
      <c r="T18" s="1"/>
    </row>
    <row r="19" spans="1:20" x14ac:dyDescent="0.25">
      <c r="A19" s="10">
        <v>14</v>
      </c>
      <c r="B19" s="13">
        <v>23031927</v>
      </c>
      <c r="C19" s="31" t="s">
        <v>34</v>
      </c>
      <c r="D19" s="31"/>
      <c r="E19" s="13">
        <v>3</v>
      </c>
      <c r="F19" s="13">
        <v>5</v>
      </c>
      <c r="G19" s="13">
        <v>5</v>
      </c>
      <c r="H19" s="13">
        <v>2</v>
      </c>
      <c r="I19" s="50">
        <v>37</v>
      </c>
      <c r="J19" s="14">
        <f t="shared" si="0"/>
        <v>7.4</v>
      </c>
      <c r="K19" s="14">
        <v>71</v>
      </c>
      <c r="L19" s="13">
        <f t="shared" si="1"/>
        <v>17.75</v>
      </c>
      <c r="M19" s="13"/>
      <c r="N19" s="15">
        <f t="shared" si="2"/>
        <v>40.15</v>
      </c>
      <c r="O19" s="1"/>
      <c r="P19" s="1"/>
      <c r="Q19" s="1"/>
      <c r="R19" s="1"/>
      <c r="S19" s="1"/>
      <c r="T19" s="1"/>
    </row>
    <row r="20" spans="1:20" x14ac:dyDescent="0.25">
      <c r="A20" s="10">
        <v>15</v>
      </c>
      <c r="B20" s="13">
        <v>23031928</v>
      </c>
      <c r="C20" s="31" t="s">
        <v>35</v>
      </c>
      <c r="D20" s="31"/>
      <c r="E20" s="13">
        <v>3</v>
      </c>
      <c r="F20" s="13">
        <v>5</v>
      </c>
      <c r="G20" s="13">
        <v>5</v>
      </c>
      <c r="H20" s="13">
        <v>2</v>
      </c>
      <c r="I20" s="50">
        <v>37</v>
      </c>
      <c r="J20" s="14">
        <f t="shared" si="0"/>
        <v>7.4</v>
      </c>
      <c r="K20" s="20">
        <v>71</v>
      </c>
      <c r="L20" s="13">
        <f t="shared" si="1"/>
        <v>17.75</v>
      </c>
      <c r="M20" s="13"/>
      <c r="N20" s="15">
        <f t="shared" si="2"/>
        <v>40.15</v>
      </c>
      <c r="O20" s="1"/>
      <c r="P20" s="1"/>
      <c r="Q20" s="1"/>
      <c r="R20" s="1"/>
      <c r="S20" s="1"/>
      <c r="T20" s="1"/>
    </row>
    <row r="21" spans="1:20" s="25" customFormat="1" x14ac:dyDescent="0.25">
      <c r="A21" s="10">
        <v>16</v>
      </c>
      <c r="B21" s="13">
        <v>23031929</v>
      </c>
      <c r="C21" s="31" t="s">
        <v>36</v>
      </c>
      <c r="D21" s="31"/>
      <c r="E21" s="13">
        <v>3</v>
      </c>
      <c r="F21" s="13">
        <v>5</v>
      </c>
      <c r="G21" s="13">
        <v>5</v>
      </c>
      <c r="H21" s="13">
        <v>2</v>
      </c>
      <c r="I21" s="50" t="s">
        <v>56</v>
      </c>
      <c r="J21" s="14" t="e">
        <f t="shared" si="0"/>
        <v>#VALUE!</v>
      </c>
      <c r="K21" s="12">
        <v>32</v>
      </c>
      <c r="L21" s="13">
        <f t="shared" si="1"/>
        <v>8</v>
      </c>
      <c r="M21" s="12"/>
      <c r="N21" s="15" t="e">
        <f t="shared" si="2"/>
        <v>#VALUE!</v>
      </c>
    </row>
    <row r="22" spans="1:20" s="25" customFormat="1" x14ac:dyDescent="0.25">
      <c r="A22" s="10">
        <v>17</v>
      </c>
      <c r="B22" s="13">
        <v>23031930</v>
      </c>
      <c r="C22" s="31" t="s">
        <v>37</v>
      </c>
      <c r="D22" s="31"/>
      <c r="E22" s="13">
        <v>3</v>
      </c>
      <c r="F22" s="13">
        <v>5</v>
      </c>
      <c r="G22" s="13">
        <v>5</v>
      </c>
      <c r="H22" s="13">
        <v>2</v>
      </c>
      <c r="I22" s="50">
        <v>15</v>
      </c>
      <c r="J22" s="14">
        <f t="shared" si="0"/>
        <v>3</v>
      </c>
      <c r="K22" s="12">
        <v>28</v>
      </c>
      <c r="L22" s="13">
        <f t="shared" si="1"/>
        <v>7</v>
      </c>
      <c r="M22" s="12"/>
      <c r="N22" s="15">
        <f t="shared" si="2"/>
        <v>25</v>
      </c>
    </row>
    <row r="23" spans="1:20" x14ac:dyDescent="0.25">
      <c r="A23" s="10">
        <v>18</v>
      </c>
      <c r="B23" s="13">
        <v>23031931</v>
      </c>
      <c r="C23" s="31" t="s">
        <v>38</v>
      </c>
      <c r="D23" s="31"/>
      <c r="E23" s="13">
        <v>3</v>
      </c>
      <c r="F23" s="13">
        <v>5</v>
      </c>
      <c r="G23" s="13">
        <v>5</v>
      </c>
      <c r="H23" s="13">
        <v>2</v>
      </c>
      <c r="I23" s="50">
        <v>29</v>
      </c>
      <c r="J23" s="14">
        <f t="shared" si="0"/>
        <v>5.8</v>
      </c>
      <c r="K23" s="14">
        <v>66</v>
      </c>
      <c r="L23" s="13">
        <f t="shared" si="1"/>
        <v>16.5</v>
      </c>
      <c r="M23" s="13"/>
      <c r="N23" s="15">
        <f t="shared" si="2"/>
        <v>37.299999999999997</v>
      </c>
      <c r="O23" s="1"/>
      <c r="P23" s="1"/>
      <c r="Q23" s="1"/>
      <c r="R23" s="1"/>
      <c r="S23" s="1"/>
      <c r="T23" s="1"/>
    </row>
    <row r="24" spans="1:20" x14ac:dyDescent="0.25">
      <c r="A24" s="10">
        <v>19</v>
      </c>
      <c r="B24" s="13">
        <v>23031932</v>
      </c>
      <c r="C24" s="31" t="s">
        <v>39</v>
      </c>
      <c r="D24" s="31"/>
      <c r="E24" s="13">
        <v>3</v>
      </c>
      <c r="F24" s="13">
        <v>5</v>
      </c>
      <c r="G24" s="13">
        <v>5</v>
      </c>
      <c r="H24" s="13">
        <v>2</v>
      </c>
      <c r="I24" s="50">
        <v>34</v>
      </c>
      <c r="J24" s="14">
        <f t="shared" si="0"/>
        <v>6.8</v>
      </c>
      <c r="K24" s="20">
        <v>53</v>
      </c>
      <c r="L24" s="13">
        <f t="shared" si="1"/>
        <v>13.25</v>
      </c>
      <c r="M24" s="13"/>
      <c r="N24" s="15">
        <f t="shared" si="2"/>
        <v>35.049999999999997</v>
      </c>
      <c r="O24" s="1"/>
      <c r="P24" s="1"/>
      <c r="Q24" s="1"/>
      <c r="R24" s="1"/>
      <c r="S24" s="1"/>
      <c r="T24" s="1"/>
    </row>
    <row r="25" spans="1:20" x14ac:dyDescent="0.25">
      <c r="A25" s="10">
        <v>20</v>
      </c>
      <c r="B25" s="13">
        <v>23031933</v>
      </c>
      <c r="C25" s="31" t="s">
        <v>40</v>
      </c>
      <c r="D25" s="31"/>
      <c r="E25" s="13">
        <v>3</v>
      </c>
      <c r="F25" s="13">
        <v>5</v>
      </c>
      <c r="G25" s="13">
        <v>5</v>
      </c>
      <c r="H25" s="13">
        <v>2</v>
      </c>
      <c r="I25" s="50">
        <v>28</v>
      </c>
      <c r="J25" s="14">
        <f t="shared" si="0"/>
        <v>5.6</v>
      </c>
      <c r="K25" s="24">
        <v>57</v>
      </c>
      <c r="L25" s="13">
        <f t="shared" si="1"/>
        <v>14.25</v>
      </c>
      <c r="M25" s="13"/>
      <c r="N25" s="15">
        <f t="shared" si="2"/>
        <v>34.85</v>
      </c>
      <c r="O25" s="1"/>
      <c r="P25" s="1"/>
      <c r="Q25" s="1"/>
      <c r="R25" s="1"/>
      <c r="S25" s="1"/>
      <c r="T25" s="1"/>
    </row>
    <row r="26" spans="1:20" x14ac:dyDescent="0.25">
      <c r="A26" s="10">
        <v>21</v>
      </c>
      <c r="B26" s="13">
        <v>23031934</v>
      </c>
      <c r="C26" s="31" t="s">
        <v>41</v>
      </c>
      <c r="D26" s="31"/>
      <c r="E26" s="13">
        <v>3</v>
      </c>
      <c r="F26" s="13">
        <v>5</v>
      </c>
      <c r="G26" s="13">
        <v>5</v>
      </c>
      <c r="H26" s="13">
        <v>2</v>
      </c>
      <c r="I26" s="50">
        <v>13</v>
      </c>
      <c r="J26" s="14">
        <f t="shared" si="0"/>
        <v>2.6</v>
      </c>
      <c r="K26" s="14">
        <v>56</v>
      </c>
      <c r="L26" s="13">
        <f t="shared" si="1"/>
        <v>14</v>
      </c>
      <c r="M26" s="13"/>
      <c r="N26" s="15">
        <f t="shared" si="2"/>
        <v>31.6</v>
      </c>
      <c r="O26" s="1"/>
      <c r="P26" s="1"/>
      <c r="Q26" s="1"/>
      <c r="R26" s="1"/>
      <c r="S26" s="1"/>
      <c r="T26" s="1"/>
    </row>
    <row r="27" spans="1:20" x14ac:dyDescent="0.25">
      <c r="A27" s="10">
        <v>22</v>
      </c>
      <c r="B27" s="13">
        <v>23031935</v>
      </c>
      <c r="C27" s="31" t="s">
        <v>42</v>
      </c>
      <c r="D27" s="31"/>
      <c r="E27" s="13">
        <v>3</v>
      </c>
      <c r="F27" s="13">
        <v>5</v>
      </c>
      <c r="G27" s="13">
        <v>5</v>
      </c>
      <c r="H27" s="13">
        <v>2</v>
      </c>
      <c r="I27" s="50">
        <v>23</v>
      </c>
      <c r="J27" s="14">
        <f t="shared" si="0"/>
        <v>4.5999999999999996</v>
      </c>
      <c r="K27" s="20">
        <v>50</v>
      </c>
      <c r="L27" s="13">
        <f t="shared" si="1"/>
        <v>12.5</v>
      </c>
      <c r="M27" s="13"/>
      <c r="N27" s="15">
        <f t="shared" si="2"/>
        <v>32.1</v>
      </c>
      <c r="O27" s="1"/>
      <c r="P27" s="1"/>
      <c r="Q27" s="1"/>
      <c r="R27" s="1"/>
      <c r="S27" s="1"/>
      <c r="T27" s="1"/>
    </row>
    <row r="28" spans="1:20" ht="14.25" customHeight="1" x14ac:dyDescent="0.25">
      <c r="A28" s="10">
        <v>23</v>
      </c>
      <c r="B28" s="34">
        <v>23031936</v>
      </c>
      <c r="C28" s="47" t="s">
        <v>43</v>
      </c>
      <c r="D28" s="31"/>
      <c r="E28" s="34">
        <v>3</v>
      </c>
      <c r="F28" s="34">
        <v>5</v>
      </c>
      <c r="G28" s="34">
        <v>5</v>
      </c>
      <c r="H28" s="34">
        <v>2</v>
      </c>
      <c r="I28" s="50">
        <v>45</v>
      </c>
      <c r="J28" s="14">
        <f t="shared" si="0"/>
        <v>9</v>
      </c>
      <c r="K28" s="35">
        <v>78</v>
      </c>
      <c r="L28" s="34">
        <f t="shared" si="1"/>
        <v>19.5</v>
      </c>
      <c r="M28" s="34"/>
      <c r="N28" s="36">
        <f t="shared" si="2"/>
        <v>43.5</v>
      </c>
      <c r="O28" s="1"/>
      <c r="P28" s="1"/>
      <c r="Q28" s="1"/>
      <c r="R28" s="1"/>
      <c r="S28" s="1"/>
      <c r="T28" s="1"/>
    </row>
    <row r="29" spans="1:20" x14ac:dyDescent="0.25">
      <c r="A29" s="10">
        <v>24</v>
      </c>
      <c r="B29" s="13">
        <v>23031937</v>
      </c>
      <c r="C29" s="31" t="s">
        <v>44</v>
      </c>
      <c r="D29" s="31"/>
      <c r="E29" s="13">
        <v>3</v>
      </c>
      <c r="F29" s="13">
        <v>5</v>
      </c>
      <c r="G29" s="13">
        <v>5</v>
      </c>
      <c r="H29" s="13">
        <v>2</v>
      </c>
      <c r="I29" s="50">
        <v>18</v>
      </c>
      <c r="J29" s="14">
        <f t="shared" si="0"/>
        <v>3.6</v>
      </c>
      <c r="K29" s="24">
        <v>47</v>
      </c>
      <c r="L29" s="13">
        <f t="shared" si="1"/>
        <v>11.75</v>
      </c>
      <c r="M29" s="13"/>
      <c r="N29" s="48">
        <f t="shared" si="2"/>
        <v>30.35</v>
      </c>
      <c r="O29" s="1"/>
      <c r="P29" s="1"/>
      <c r="Q29" s="1"/>
      <c r="R29" s="1"/>
      <c r="S29" s="1"/>
      <c r="T29" s="1"/>
    </row>
    <row r="30" spans="1:20" x14ac:dyDescent="0.25">
      <c r="A30" s="37"/>
      <c r="B30" s="38"/>
      <c r="C30" s="38"/>
      <c r="D30" s="38"/>
      <c r="E30" s="37"/>
      <c r="F30" s="37"/>
      <c r="G30" s="37"/>
      <c r="H30" s="37"/>
      <c r="I30" s="30"/>
      <c r="J30" s="39"/>
      <c r="K30" s="40"/>
      <c r="L30" s="37"/>
      <c r="M30" s="37"/>
      <c r="N30" s="41"/>
      <c r="O30" s="1"/>
      <c r="P30" s="1"/>
      <c r="Q30" s="1"/>
      <c r="R30" s="1"/>
      <c r="S30" s="1"/>
      <c r="T30" s="1"/>
    </row>
    <row r="31" spans="1:20" x14ac:dyDescent="0.25">
      <c r="A31" s="37"/>
      <c r="B31" s="46"/>
      <c r="C31" s="38"/>
      <c r="D31" s="42"/>
      <c r="E31" s="37"/>
      <c r="F31" s="37"/>
      <c r="G31" s="37"/>
      <c r="H31" s="37"/>
      <c r="I31" s="30"/>
      <c r="J31" s="39"/>
      <c r="K31" s="43"/>
      <c r="L31" s="37"/>
      <c r="M31" s="37"/>
      <c r="N31" s="41"/>
      <c r="O31" s="1"/>
      <c r="P31" s="1"/>
      <c r="Q31" s="1"/>
      <c r="R31" s="1"/>
      <c r="S31" s="1"/>
      <c r="T31" s="1"/>
    </row>
    <row r="32" spans="1:20" x14ac:dyDescent="0.25">
      <c r="A32" s="37"/>
      <c r="B32" s="46"/>
      <c r="C32" s="38"/>
      <c r="D32" s="42"/>
      <c r="E32" s="37"/>
      <c r="F32" s="37"/>
      <c r="G32" s="37"/>
      <c r="H32" s="37"/>
      <c r="I32" s="30"/>
      <c r="J32" s="39"/>
      <c r="K32" s="39"/>
      <c r="L32" s="37"/>
      <c r="M32" s="37"/>
      <c r="N32" s="41"/>
      <c r="O32" s="1"/>
      <c r="P32" s="1"/>
      <c r="Q32" s="1"/>
      <c r="R32" s="1"/>
      <c r="S32" s="1"/>
      <c r="T32" s="1"/>
    </row>
    <row r="33" spans="1:20" x14ac:dyDescent="0.25">
      <c r="A33" s="37"/>
      <c r="B33" s="46"/>
      <c r="C33" s="38"/>
      <c r="D33" s="42"/>
      <c r="E33" s="37"/>
      <c r="F33" s="37"/>
      <c r="G33" s="37"/>
      <c r="H33" s="37"/>
      <c r="I33" s="30"/>
      <c r="J33" s="39"/>
      <c r="K33" s="44"/>
      <c r="L33" s="37"/>
      <c r="M33" s="37"/>
      <c r="N33" s="41"/>
      <c r="O33" s="1"/>
      <c r="P33" s="1"/>
      <c r="Q33" s="1"/>
      <c r="R33" s="1"/>
      <c r="S33" s="1"/>
      <c r="T33" s="1"/>
    </row>
    <row r="34" spans="1:20" x14ac:dyDescent="0.25">
      <c r="A34" s="37"/>
      <c r="B34" s="46"/>
      <c r="C34" s="38"/>
      <c r="D34" s="42"/>
      <c r="E34" s="37"/>
      <c r="F34" s="37"/>
      <c r="G34" s="37"/>
      <c r="H34" s="37"/>
      <c r="I34" s="37"/>
      <c r="J34" s="39"/>
      <c r="K34" s="44"/>
      <c r="L34" s="37"/>
      <c r="M34" s="37"/>
      <c r="N34" s="41"/>
      <c r="O34" s="1"/>
      <c r="P34" s="1"/>
      <c r="Q34" s="1"/>
      <c r="R34" s="1"/>
      <c r="S34" s="1"/>
      <c r="T34" s="1"/>
    </row>
    <row r="35" spans="1:20" x14ac:dyDescent="0.25">
      <c r="A35" s="37"/>
      <c r="B35" s="46"/>
      <c r="C35" s="38"/>
      <c r="D35" s="42"/>
      <c r="E35" s="37"/>
      <c r="F35" s="37"/>
      <c r="G35" s="37"/>
      <c r="H35" s="37"/>
      <c r="I35" s="30"/>
      <c r="J35" s="39"/>
      <c r="K35" s="44"/>
      <c r="L35" s="37"/>
      <c r="M35" s="37"/>
      <c r="N35" s="41"/>
      <c r="O35" s="1"/>
      <c r="P35" s="1"/>
      <c r="Q35" s="1"/>
      <c r="R35" s="1"/>
      <c r="S35" s="1"/>
      <c r="T35" s="1"/>
    </row>
    <row r="36" spans="1:20" x14ac:dyDescent="0.25">
      <c r="A36" s="37"/>
      <c r="B36" s="46"/>
      <c r="C36" s="38"/>
      <c r="D36" s="42"/>
      <c r="E36" s="37"/>
      <c r="F36" s="37"/>
      <c r="G36" s="37"/>
      <c r="H36" s="37"/>
      <c r="I36" s="30"/>
      <c r="J36" s="39"/>
      <c r="K36" s="44"/>
      <c r="L36" s="37"/>
      <c r="M36" s="37"/>
      <c r="N36" s="41"/>
      <c r="O36" s="1"/>
      <c r="P36" s="1"/>
      <c r="Q36" s="1"/>
      <c r="R36" s="1"/>
      <c r="S36" s="1"/>
      <c r="T36" s="1"/>
    </row>
    <row r="37" spans="1:20" x14ac:dyDescent="0.25">
      <c r="A37" s="37"/>
      <c r="B37" s="46"/>
      <c r="C37" s="38"/>
      <c r="D37" s="42"/>
      <c r="E37" s="37"/>
      <c r="F37" s="37"/>
      <c r="G37" s="37"/>
      <c r="H37" s="37"/>
      <c r="I37" s="30"/>
      <c r="J37" s="39"/>
      <c r="K37" s="44"/>
      <c r="L37" s="37"/>
      <c r="M37" s="37"/>
      <c r="N37" s="41"/>
      <c r="O37" s="1"/>
      <c r="P37" s="1"/>
      <c r="Q37" s="1"/>
      <c r="R37" s="1"/>
      <c r="S37" s="1"/>
      <c r="T37" s="1"/>
    </row>
    <row r="38" spans="1:20" x14ac:dyDescent="0.25">
      <c r="A38" s="37"/>
      <c r="B38" s="46"/>
      <c r="C38" s="38"/>
      <c r="D38" s="44"/>
      <c r="E38" s="37"/>
      <c r="F38" s="37"/>
      <c r="G38" s="37"/>
      <c r="H38" s="37"/>
      <c r="I38" s="30"/>
      <c r="J38" s="39"/>
      <c r="K38" s="44"/>
      <c r="L38" s="37"/>
      <c r="M38" s="37"/>
      <c r="N38" s="41"/>
      <c r="O38" s="1"/>
      <c r="P38" s="1"/>
      <c r="Q38" s="1"/>
      <c r="R38" s="1"/>
      <c r="S38" s="1"/>
      <c r="T38" s="1"/>
    </row>
    <row r="39" spans="1:20" x14ac:dyDescent="0.25">
      <c r="A39" s="37"/>
      <c r="B39" s="46"/>
      <c r="C39" s="38"/>
      <c r="D39" s="44"/>
      <c r="E39" s="37"/>
      <c r="F39" s="37"/>
      <c r="G39" s="37"/>
      <c r="H39" s="37"/>
      <c r="I39" s="37"/>
      <c r="J39" s="39"/>
      <c r="K39" s="44"/>
      <c r="L39" s="37"/>
      <c r="M39" s="37"/>
      <c r="N39" s="41"/>
      <c r="O39" s="1"/>
      <c r="P39" s="1"/>
      <c r="Q39" s="1"/>
      <c r="R39" s="1"/>
      <c r="S39" s="1"/>
      <c r="T39" s="1"/>
    </row>
    <row r="40" spans="1:20" x14ac:dyDescent="0.25">
      <c r="A40" s="37"/>
      <c r="B40" s="46"/>
      <c r="C40" s="38"/>
      <c r="D40" s="44"/>
      <c r="E40" s="37"/>
      <c r="F40" s="37"/>
      <c r="G40" s="37"/>
      <c r="H40" s="37"/>
      <c r="I40" s="30"/>
      <c r="J40" s="39"/>
      <c r="K40" s="44"/>
      <c r="L40" s="37"/>
      <c r="M40" s="37"/>
      <c r="N40" s="41"/>
      <c r="O40" s="1"/>
      <c r="P40" s="1"/>
      <c r="Q40" s="1"/>
      <c r="R40" s="1"/>
      <c r="S40" s="1"/>
      <c r="T40" s="1"/>
    </row>
    <row r="41" spans="1:20" x14ac:dyDescent="0.25">
      <c r="A41" s="37"/>
      <c r="B41" s="46"/>
      <c r="C41" s="38"/>
      <c r="D41" s="44"/>
      <c r="E41" s="37"/>
      <c r="F41" s="37"/>
      <c r="G41" s="37"/>
      <c r="H41" s="37"/>
      <c r="I41" s="30"/>
      <c r="J41" s="39"/>
      <c r="K41" s="44"/>
      <c r="L41" s="37"/>
      <c r="M41" s="37"/>
      <c r="N41" s="41"/>
      <c r="O41" s="1"/>
      <c r="P41" s="1"/>
      <c r="Q41" s="1"/>
      <c r="R41" s="1"/>
      <c r="S41" s="1"/>
      <c r="T41" s="1"/>
    </row>
    <row r="42" spans="1:20" x14ac:dyDescent="0.25">
      <c r="A42" s="45"/>
      <c r="B42" s="38"/>
      <c r="C42" s="38"/>
      <c r="D42" s="44"/>
      <c r="E42" s="37"/>
      <c r="F42" s="37"/>
      <c r="G42" s="37"/>
      <c r="H42" s="37"/>
      <c r="I42" s="45"/>
      <c r="J42" s="39"/>
      <c r="K42" s="44"/>
      <c r="L42" s="37"/>
      <c r="M42" s="37"/>
      <c r="N42" s="41"/>
      <c r="O42" s="1"/>
      <c r="P42" s="1"/>
      <c r="Q42" s="1"/>
      <c r="R42" s="1"/>
      <c r="S42" s="1"/>
      <c r="T42" s="1"/>
    </row>
    <row r="43" spans="1:20" x14ac:dyDescent="0.25">
      <c r="A43" s="45"/>
      <c r="B43" s="45"/>
      <c r="C43" s="45"/>
      <c r="D43" s="44"/>
      <c r="E43" s="37"/>
      <c r="F43" s="37"/>
      <c r="G43" s="37"/>
      <c r="H43" s="37"/>
      <c r="I43" s="44"/>
      <c r="J43" s="39"/>
      <c r="K43" s="44"/>
      <c r="L43" s="37"/>
      <c r="M43" s="37"/>
      <c r="N43" s="41"/>
      <c r="O43" s="1"/>
      <c r="P43" s="1"/>
      <c r="Q43" s="1"/>
      <c r="R43" s="1"/>
      <c r="S43" s="1"/>
      <c r="T43" s="1"/>
    </row>
    <row r="44" spans="1:20" x14ac:dyDescent="0.25">
      <c r="A44" s="45"/>
      <c r="B44" s="45"/>
      <c r="C44" s="45"/>
      <c r="D44" s="44"/>
      <c r="E44" s="37"/>
      <c r="F44" s="37"/>
      <c r="G44" s="37"/>
      <c r="H44" s="37"/>
      <c r="I44" s="44"/>
      <c r="J44" s="39"/>
      <c r="K44" s="44"/>
      <c r="L44" s="37"/>
      <c r="M44" s="37"/>
      <c r="N44" s="41"/>
      <c r="O44" s="1"/>
      <c r="P44" s="1"/>
      <c r="Q44" s="1"/>
      <c r="R44" s="1"/>
      <c r="S44" s="1"/>
      <c r="T44" s="1"/>
    </row>
    <row r="45" spans="1:20" x14ac:dyDescent="0.25">
      <c r="A45" s="45"/>
      <c r="B45" s="45"/>
      <c r="C45" s="45"/>
      <c r="D45" s="44"/>
      <c r="E45" s="37"/>
      <c r="F45" s="37"/>
      <c r="G45" s="37"/>
      <c r="H45" s="37"/>
      <c r="I45" s="44"/>
      <c r="J45" s="39"/>
      <c r="K45" s="44"/>
      <c r="L45" s="37"/>
      <c r="M45" s="37"/>
      <c r="N45" s="41"/>
      <c r="O45" s="1"/>
      <c r="P45" s="1"/>
      <c r="Q45" s="1"/>
      <c r="R45" s="1"/>
      <c r="S45" s="1"/>
      <c r="T45" s="1"/>
    </row>
    <row r="46" spans="1:20" x14ac:dyDescent="0.25">
      <c r="A46" s="45"/>
      <c r="B46" s="45"/>
      <c r="C46" s="45"/>
      <c r="D46" s="44"/>
      <c r="E46" s="37"/>
      <c r="F46" s="37"/>
      <c r="G46" s="37"/>
      <c r="H46" s="37"/>
      <c r="I46" s="44"/>
      <c r="J46" s="39"/>
      <c r="K46" s="44"/>
      <c r="L46" s="37"/>
      <c r="M46" s="37"/>
      <c r="N46" s="41"/>
      <c r="O46" s="1"/>
      <c r="P46" s="1"/>
      <c r="Q46" s="1"/>
      <c r="R46" s="1"/>
      <c r="S46" s="1"/>
      <c r="T46" s="1"/>
    </row>
    <row r="47" spans="1:20" x14ac:dyDescent="0.25">
      <c r="A47" s="45"/>
      <c r="B47" s="45"/>
      <c r="C47" s="45"/>
      <c r="D47" s="44"/>
      <c r="E47" s="37"/>
      <c r="F47" s="37"/>
      <c r="G47" s="37"/>
      <c r="H47" s="37"/>
      <c r="I47" s="44"/>
      <c r="J47" s="39"/>
      <c r="K47" s="44"/>
      <c r="L47" s="37"/>
      <c r="M47" s="37"/>
      <c r="N47" s="41"/>
      <c r="O47" s="1"/>
      <c r="P47" s="1"/>
      <c r="Q47" s="1"/>
      <c r="R47" s="1"/>
      <c r="S47" s="1"/>
      <c r="T47" s="1"/>
    </row>
    <row r="48" spans="1:20" x14ac:dyDescent="0.25">
      <c r="A48" s="45"/>
      <c r="B48" s="45"/>
      <c r="C48" s="45"/>
      <c r="D48" s="44"/>
      <c r="E48" s="37"/>
      <c r="F48" s="37"/>
      <c r="G48" s="37"/>
      <c r="H48" s="37"/>
      <c r="I48" s="45"/>
      <c r="J48" s="39"/>
      <c r="K48" s="44"/>
      <c r="L48" s="37"/>
      <c r="M48" s="37"/>
      <c r="N48" s="41"/>
      <c r="O48" s="1"/>
      <c r="P48" s="1"/>
      <c r="Q48" s="1"/>
      <c r="R48" s="1"/>
      <c r="S48" s="1"/>
      <c r="T48" s="1"/>
    </row>
    <row r="49" spans="1:20" x14ac:dyDescent="0.25">
      <c r="A49" s="45"/>
      <c r="B49" s="45"/>
      <c r="C49" s="45"/>
      <c r="D49" s="44"/>
      <c r="E49" s="37"/>
      <c r="F49" s="37"/>
      <c r="G49" s="37"/>
      <c r="H49" s="37"/>
      <c r="I49" s="45"/>
      <c r="J49" s="39"/>
      <c r="K49" s="44"/>
      <c r="L49" s="37"/>
      <c r="M49" s="37"/>
      <c r="N49" s="41"/>
      <c r="O49" s="1"/>
      <c r="P49" s="1"/>
      <c r="Q49" s="1"/>
      <c r="R49" s="1"/>
      <c r="S49" s="1"/>
      <c r="T49" s="1"/>
    </row>
    <row r="50" spans="1:20" x14ac:dyDescent="0.25">
      <c r="A50" s="45"/>
      <c r="B50" s="45"/>
      <c r="C50" s="45"/>
      <c r="D50" s="44"/>
      <c r="E50" s="37"/>
      <c r="F50" s="37"/>
      <c r="G50" s="37"/>
      <c r="H50" s="37"/>
      <c r="I50" s="45"/>
      <c r="J50" s="39"/>
      <c r="K50" s="44"/>
      <c r="L50" s="37"/>
      <c r="M50" s="37"/>
      <c r="N50" s="41"/>
      <c r="O50" s="1"/>
      <c r="P50" s="1"/>
      <c r="Q50" s="1"/>
      <c r="R50" s="1"/>
      <c r="S50" s="1"/>
      <c r="T50" s="1"/>
    </row>
    <row r="51" spans="1:20" x14ac:dyDescent="0.25">
      <c r="A51" s="45"/>
      <c r="B51" s="45"/>
      <c r="C51" s="45"/>
      <c r="D51" s="44"/>
      <c r="E51" s="37"/>
      <c r="F51" s="37"/>
      <c r="G51" s="37"/>
      <c r="H51" s="37"/>
      <c r="I51" s="45"/>
      <c r="J51" s="39"/>
      <c r="K51" s="44"/>
      <c r="L51" s="37"/>
      <c r="M51" s="37"/>
      <c r="N51" s="41"/>
      <c r="O51" s="1"/>
      <c r="P51" s="1"/>
      <c r="Q51" s="1"/>
      <c r="R51" s="1"/>
      <c r="S51" s="1"/>
      <c r="T51" s="1"/>
    </row>
    <row r="52" spans="1:20" x14ac:dyDescent="0.25">
      <c r="A52" s="45"/>
      <c r="B52" s="45"/>
      <c r="C52" s="45"/>
      <c r="D52" s="44"/>
      <c r="E52" s="37"/>
      <c r="F52" s="37"/>
      <c r="G52" s="37"/>
      <c r="H52" s="37"/>
      <c r="I52" s="1"/>
      <c r="J52" s="39"/>
      <c r="K52" s="44"/>
      <c r="L52" s="37"/>
      <c r="M52" s="37"/>
      <c r="N52" s="41"/>
      <c r="O52" s="1"/>
      <c r="P52" s="1"/>
      <c r="Q52" s="1"/>
      <c r="R52" s="1"/>
      <c r="S52" s="1"/>
      <c r="T52" s="1"/>
    </row>
    <row r="53" spans="1:20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D55" s="1"/>
      <c r="E55" s="1"/>
      <c r="F55" s="1"/>
      <c r="G55" s="1"/>
      <c r="H55" s="1"/>
      <c r="I55" s="1"/>
      <c r="J55" s="1"/>
      <c r="K55" s="1"/>
      <c r="L55" s="56" t="s">
        <v>17</v>
      </c>
      <c r="M55" s="56"/>
      <c r="N55" s="1"/>
      <c r="O55" s="1"/>
      <c r="P55" s="1"/>
      <c r="Q55" s="1"/>
      <c r="R55" s="1"/>
      <c r="S55" s="1"/>
      <c r="T55" s="1"/>
    </row>
    <row r="56" spans="1:20" x14ac:dyDescent="0.25">
      <c r="D56" s="1"/>
      <c r="E56" s="1"/>
      <c r="F56" s="1"/>
      <c r="G56" s="1"/>
      <c r="H56" s="1"/>
      <c r="I56" s="1"/>
      <c r="J56" s="1"/>
      <c r="K56" s="1"/>
      <c r="L56" s="56" t="s">
        <v>18</v>
      </c>
      <c r="M56" s="56"/>
      <c r="N56" s="1"/>
      <c r="O56" s="1"/>
      <c r="P56" s="1"/>
      <c r="Q56" s="1"/>
      <c r="R56" s="1"/>
      <c r="S56" s="1"/>
      <c r="T56" s="1"/>
    </row>
    <row r="57" spans="1:20" x14ac:dyDescent="0.2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4:20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4:20" x14ac:dyDescent="0.2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4:20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4:20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4:20" x14ac:dyDescent="0.2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4:20" x14ac:dyDescent="0.2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4:20" x14ac:dyDescent="0.2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4:20" x14ac:dyDescent="0.2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4:20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4:20" x14ac:dyDescent="0.2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4:20" x14ac:dyDescent="0.2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4:20" x14ac:dyDescent="0.2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4:20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4:20" x14ac:dyDescent="0.2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4:20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4:20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1"/>
      <c r="D606" s="1"/>
      <c r="E606" s="1"/>
      <c r="F606" s="1"/>
      <c r="G606" s="1"/>
      <c r="H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</sheetData>
  <mergeCells count="7">
    <mergeCell ref="L56:M56"/>
    <mergeCell ref="A1:N1"/>
    <mergeCell ref="A2:N2"/>
    <mergeCell ref="A3:N3"/>
    <mergeCell ref="A4:B4"/>
    <mergeCell ref="C4:E4"/>
    <mergeCell ref="L55:M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 Research Methods</vt:lpstr>
      <vt:lpstr>operations Management</vt:lpstr>
      <vt:lpstr>Mangerial Accounting</vt:lpstr>
      <vt:lpstr>Microfinance</vt:lpstr>
      <vt:lpstr>Human 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2026-03-25T01:50:08Z</dcterms:modified>
</cp:coreProperties>
</file>