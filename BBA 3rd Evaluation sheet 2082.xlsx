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450" firstSheet="3" activeTab="5"/>
  </bookViews>
  <sheets>
    <sheet name="Macroeconomics" sheetId="1" r:id="rId1"/>
    <sheet name="Essential of Finance" sheetId="6" r:id="rId2"/>
    <sheet name="Principles of Marketing" sheetId="7" r:id="rId3"/>
    <sheet name="Cost and mgt Accounting" sheetId="8" r:id="rId4"/>
    <sheet name="Digital Marketing Practicum" sheetId="9" r:id="rId5"/>
    <sheet name="Business Statistics" sheetId="10" r:id="rId6"/>
  </sheets>
  <calcPr calcId="162913"/>
</workbook>
</file>

<file path=xl/calcChain.xml><?xml version="1.0" encoding="utf-8"?>
<calcChain xmlns="http://schemas.openxmlformats.org/spreadsheetml/2006/main">
  <c r="N7" i="10" l="1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2" i="10"/>
  <c r="N23" i="10"/>
  <c r="N24" i="10"/>
  <c r="N26" i="10"/>
  <c r="N27" i="10"/>
  <c r="N28" i="10"/>
  <c r="N29" i="10"/>
  <c r="N30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6" i="10"/>
  <c r="L7" i="10" l="1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9" i="10"/>
  <c r="L40" i="10"/>
  <c r="L41" i="10"/>
  <c r="L42" i="10"/>
  <c r="L43" i="10"/>
  <c r="L44" i="10"/>
  <c r="L45" i="10"/>
  <c r="L46" i="10"/>
  <c r="L47" i="10"/>
  <c r="L6" i="10"/>
  <c r="L7" i="1" l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6" i="1"/>
  <c r="J7" i="1" l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L7" i="6" l="1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N7" i="8" l="1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L6" i="8"/>
  <c r="N6" i="8" s="1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J47" i="10"/>
  <c r="J46" i="10"/>
  <c r="J45" i="10"/>
  <c r="J44" i="10"/>
  <c r="J43" i="10"/>
  <c r="J42" i="10"/>
  <c r="J41" i="10"/>
  <c r="J40" i="10"/>
  <c r="J39" i="10"/>
  <c r="J38" i="10"/>
  <c r="J37" i="10"/>
  <c r="J36" i="10"/>
  <c r="J35" i="10"/>
  <c r="J34" i="10"/>
  <c r="J33" i="10"/>
  <c r="J32" i="10"/>
  <c r="J31" i="10"/>
  <c r="J30" i="10"/>
  <c r="J29" i="10"/>
  <c r="J28" i="10"/>
  <c r="J27" i="10"/>
  <c r="J26" i="10"/>
  <c r="J25" i="10"/>
  <c r="J24" i="10"/>
  <c r="J23" i="10"/>
  <c r="J22" i="10"/>
  <c r="J21" i="10"/>
  <c r="J20" i="10"/>
  <c r="J19" i="10"/>
  <c r="J18" i="10"/>
  <c r="J17" i="10"/>
  <c r="J16" i="10"/>
  <c r="J15" i="10"/>
  <c r="J14" i="10"/>
  <c r="J13" i="10"/>
  <c r="J12" i="10"/>
  <c r="J11" i="10"/>
  <c r="J10" i="10"/>
  <c r="J9" i="10"/>
  <c r="J8" i="10"/>
  <c r="J7" i="10"/>
  <c r="J6" i="10"/>
  <c r="N50" i="9"/>
  <c r="L50" i="9"/>
  <c r="J50" i="9"/>
  <c r="N48" i="9"/>
  <c r="L48" i="9"/>
  <c r="J48" i="9"/>
  <c r="L47" i="9"/>
  <c r="J47" i="9"/>
  <c r="N47" i="9" s="1"/>
  <c r="L46" i="9"/>
  <c r="J46" i="9"/>
  <c r="N46" i="9" s="1"/>
  <c r="L45" i="9"/>
  <c r="J45" i="9"/>
  <c r="L44" i="9"/>
  <c r="J44" i="9"/>
  <c r="N43" i="9"/>
  <c r="L43" i="9"/>
  <c r="J43" i="9"/>
  <c r="L42" i="9"/>
  <c r="J42" i="9"/>
  <c r="N42" i="9" s="1"/>
  <c r="L41" i="9"/>
  <c r="J41" i="9"/>
  <c r="N41" i="9" s="1"/>
  <c r="L40" i="9"/>
  <c r="N40" i="9" s="1"/>
  <c r="J40" i="9"/>
  <c r="L39" i="9"/>
  <c r="J39" i="9"/>
  <c r="N39" i="9" s="1"/>
  <c r="L38" i="9"/>
  <c r="J38" i="9"/>
  <c r="N38" i="9" s="1"/>
  <c r="L37" i="9"/>
  <c r="J37" i="9"/>
  <c r="L36" i="9"/>
  <c r="J36" i="9"/>
  <c r="N36" i="9" s="1"/>
  <c r="N35" i="9"/>
  <c r="L35" i="9"/>
  <c r="J35" i="9"/>
  <c r="L34" i="9"/>
  <c r="J34" i="9"/>
  <c r="L33" i="9"/>
  <c r="J33" i="9"/>
  <c r="N33" i="9" s="1"/>
  <c r="L32" i="9"/>
  <c r="J32" i="9"/>
  <c r="N32" i="9" s="1"/>
  <c r="L31" i="9"/>
  <c r="J31" i="9"/>
  <c r="N31" i="9" s="1"/>
  <c r="L30" i="9"/>
  <c r="J30" i="9"/>
  <c r="N30" i="9" s="1"/>
  <c r="L29" i="9"/>
  <c r="J29" i="9"/>
  <c r="L28" i="9"/>
  <c r="J28" i="9"/>
  <c r="N28" i="9" s="1"/>
  <c r="L27" i="9"/>
  <c r="J27" i="9"/>
  <c r="N27" i="9" s="1"/>
  <c r="L26" i="9"/>
  <c r="J26" i="9"/>
  <c r="N26" i="9" s="1"/>
  <c r="L25" i="9"/>
  <c r="J25" i="9"/>
  <c r="N25" i="9" s="1"/>
  <c r="N24" i="9"/>
  <c r="L24" i="9"/>
  <c r="J24" i="9"/>
  <c r="L23" i="9"/>
  <c r="J23" i="9"/>
  <c r="N23" i="9" s="1"/>
  <c r="L22" i="9"/>
  <c r="J22" i="9"/>
  <c r="L21" i="9"/>
  <c r="N21" i="9" s="1"/>
  <c r="J21" i="9"/>
  <c r="N20" i="9"/>
  <c r="L20" i="9"/>
  <c r="J20" i="9"/>
  <c r="L19" i="9"/>
  <c r="J19" i="9"/>
  <c r="L18" i="9"/>
  <c r="J18" i="9"/>
  <c r="N18" i="9" s="1"/>
  <c r="L17" i="9"/>
  <c r="N17" i="9" s="1"/>
  <c r="J17" i="9"/>
  <c r="L16" i="9"/>
  <c r="J16" i="9"/>
  <c r="L15" i="9"/>
  <c r="J15" i="9"/>
  <c r="L14" i="9"/>
  <c r="N14" i="9" s="1"/>
  <c r="J14" i="9"/>
  <c r="L13" i="9"/>
  <c r="J13" i="9"/>
  <c r="L12" i="9"/>
  <c r="N12" i="9" s="1"/>
  <c r="J12" i="9"/>
  <c r="N11" i="9"/>
  <c r="L11" i="9"/>
  <c r="J11" i="9"/>
  <c r="L10" i="9"/>
  <c r="J10" i="9"/>
  <c r="N10" i="9" s="1"/>
  <c r="N9" i="9"/>
  <c r="L9" i="9"/>
  <c r="J9" i="9"/>
  <c r="L8" i="9"/>
  <c r="J8" i="9"/>
  <c r="N8" i="9" s="1"/>
  <c r="L7" i="9"/>
  <c r="J7" i="9"/>
  <c r="N7" i="9" s="1"/>
  <c r="L6" i="9"/>
  <c r="N6" i="9" s="1"/>
  <c r="J6" i="9"/>
  <c r="L50" i="8"/>
  <c r="J50" i="8"/>
  <c r="J48" i="8"/>
  <c r="J47" i="8"/>
  <c r="J46" i="8"/>
  <c r="J45" i="8"/>
  <c r="J44" i="8"/>
  <c r="J43" i="8"/>
  <c r="J42" i="8"/>
  <c r="J41" i="8"/>
  <c r="J40" i="8"/>
  <c r="J39" i="8"/>
  <c r="J38" i="8"/>
  <c r="J37" i="8"/>
  <c r="J36" i="8"/>
  <c r="J35" i="8"/>
  <c r="J34" i="8"/>
  <c r="J33" i="8"/>
  <c r="J32" i="8"/>
  <c r="J31" i="8"/>
  <c r="J30" i="8"/>
  <c r="J29" i="8"/>
  <c r="J28" i="8"/>
  <c r="J27" i="8"/>
  <c r="J26" i="8"/>
  <c r="J25" i="8"/>
  <c r="J24" i="8"/>
  <c r="J23" i="8"/>
  <c r="J22" i="8"/>
  <c r="J21" i="8"/>
  <c r="J20" i="8"/>
  <c r="J19" i="8"/>
  <c r="J18" i="8"/>
  <c r="J17" i="8"/>
  <c r="J16" i="8"/>
  <c r="J15" i="8"/>
  <c r="J14" i="8"/>
  <c r="J13" i="8"/>
  <c r="J12" i="8"/>
  <c r="J11" i="8"/>
  <c r="J10" i="8"/>
  <c r="J9" i="8"/>
  <c r="J8" i="8"/>
  <c r="J7" i="8"/>
  <c r="J6" i="8"/>
  <c r="L50" i="7"/>
  <c r="N50" i="7" s="1"/>
  <c r="J50" i="7"/>
  <c r="L48" i="7"/>
  <c r="J48" i="7"/>
  <c r="N48" i="7" s="1"/>
  <c r="L47" i="7"/>
  <c r="J47" i="7"/>
  <c r="N46" i="7"/>
  <c r="L46" i="7"/>
  <c r="J46" i="7"/>
  <c r="L45" i="7"/>
  <c r="J45" i="7"/>
  <c r="N45" i="7" s="1"/>
  <c r="L44" i="7"/>
  <c r="J44" i="7"/>
  <c r="N44" i="7" s="1"/>
  <c r="L43" i="7"/>
  <c r="J43" i="7"/>
  <c r="N43" i="7" s="1"/>
  <c r="L42" i="7"/>
  <c r="N42" i="7" s="1"/>
  <c r="J42" i="7"/>
  <c r="L41" i="7"/>
  <c r="J41" i="7"/>
  <c r="L40" i="7"/>
  <c r="J40" i="7"/>
  <c r="N40" i="7" s="1"/>
  <c r="L39" i="7"/>
  <c r="J39" i="7"/>
  <c r="N39" i="7" s="1"/>
  <c r="L38" i="7"/>
  <c r="J38" i="7"/>
  <c r="N38" i="7" s="1"/>
  <c r="L37" i="7"/>
  <c r="N37" i="7" s="1"/>
  <c r="J37" i="7"/>
  <c r="L36" i="7"/>
  <c r="J36" i="7"/>
  <c r="L35" i="7"/>
  <c r="J35" i="7"/>
  <c r="N35" i="7" s="1"/>
  <c r="L34" i="7"/>
  <c r="J34" i="7"/>
  <c r="L33" i="7"/>
  <c r="J33" i="7"/>
  <c r="L32" i="7"/>
  <c r="J32" i="7"/>
  <c r="L31" i="7"/>
  <c r="J31" i="7"/>
  <c r="N30" i="7"/>
  <c r="L30" i="7"/>
  <c r="J30" i="7"/>
  <c r="L29" i="7"/>
  <c r="J29" i="7"/>
  <c r="N29" i="7" s="1"/>
  <c r="L28" i="7"/>
  <c r="J28" i="7"/>
  <c r="N28" i="7" s="1"/>
  <c r="L27" i="7"/>
  <c r="J27" i="7"/>
  <c r="N27" i="7" s="1"/>
  <c r="L26" i="7"/>
  <c r="J26" i="7"/>
  <c r="N25" i="7"/>
  <c r="L25" i="7"/>
  <c r="J25" i="7"/>
  <c r="L24" i="7"/>
  <c r="N24" i="7" s="1"/>
  <c r="J24" i="7"/>
  <c r="L23" i="7"/>
  <c r="J23" i="7"/>
  <c r="L22" i="7"/>
  <c r="J22" i="7"/>
  <c r="N22" i="7" s="1"/>
  <c r="N21" i="7"/>
  <c r="L21" i="7"/>
  <c r="J21" i="7"/>
  <c r="L20" i="7"/>
  <c r="J20" i="7"/>
  <c r="N20" i="7" s="1"/>
  <c r="N19" i="7"/>
  <c r="L19" i="7"/>
  <c r="J19" i="7"/>
  <c r="L18" i="7"/>
  <c r="J18" i="7"/>
  <c r="N18" i="7" s="1"/>
  <c r="N17" i="7"/>
  <c r="L17" i="7"/>
  <c r="J17" i="7"/>
  <c r="L16" i="7"/>
  <c r="J16" i="7"/>
  <c r="N16" i="7" s="1"/>
  <c r="L15" i="7"/>
  <c r="J15" i="7"/>
  <c r="N15" i="7" s="1"/>
  <c r="L14" i="7"/>
  <c r="J14" i="7"/>
  <c r="N14" i="7" s="1"/>
  <c r="L13" i="7"/>
  <c r="J13" i="7"/>
  <c r="L12" i="7"/>
  <c r="J12" i="7"/>
  <c r="L11" i="7"/>
  <c r="J11" i="7"/>
  <c r="N11" i="7" s="1"/>
  <c r="L10" i="7"/>
  <c r="J10" i="7"/>
  <c r="N10" i="7" s="1"/>
  <c r="L9" i="7"/>
  <c r="J9" i="7"/>
  <c r="N9" i="7" s="1"/>
  <c r="L8" i="7"/>
  <c r="J8" i="7"/>
  <c r="N8" i="7" s="1"/>
  <c r="L7" i="7"/>
  <c r="J7" i="7"/>
  <c r="L6" i="7"/>
  <c r="J6" i="7"/>
  <c r="J48" i="6"/>
  <c r="N48" i="6" s="1"/>
  <c r="J50" i="6"/>
  <c r="J47" i="6"/>
  <c r="N47" i="6" s="1"/>
  <c r="J46" i="6"/>
  <c r="J45" i="6"/>
  <c r="J44" i="6"/>
  <c r="J43" i="6"/>
  <c r="J42" i="6"/>
  <c r="J41" i="6"/>
  <c r="N41" i="6" s="1"/>
  <c r="J40" i="6"/>
  <c r="J39" i="6"/>
  <c r="J38" i="6"/>
  <c r="J37" i="6"/>
  <c r="J36" i="6"/>
  <c r="J35" i="6"/>
  <c r="N34" i="6"/>
  <c r="J34" i="6"/>
  <c r="J33" i="6"/>
  <c r="J32" i="6"/>
  <c r="N31" i="6"/>
  <c r="J31" i="6"/>
  <c r="J30" i="6"/>
  <c r="J29" i="6"/>
  <c r="J28" i="6"/>
  <c r="J27" i="6"/>
  <c r="J26" i="6"/>
  <c r="J25" i="6"/>
  <c r="J24" i="6"/>
  <c r="J23" i="6"/>
  <c r="N23" i="6" s="1"/>
  <c r="J22" i="6"/>
  <c r="J21" i="6"/>
  <c r="J20" i="6"/>
  <c r="J19" i="6"/>
  <c r="J18" i="6"/>
  <c r="J17" i="6"/>
  <c r="J16" i="6"/>
  <c r="J15" i="6"/>
  <c r="N15" i="6" s="1"/>
  <c r="J14" i="6"/>
  <c r="J13" i="6"/>
  <c r="J12" i="6"/>
  <c r="N12" i="6" s="1"/>
  <c r="J11" i="6"/>
  <c r="J10" i="6"/>
  <c r="J9" i="6"/>
  <c r="J8" i="6"/>
  <c r="J7" i="6"/>
  <c r="L6" i="6"/>
  <c r="J6" i="6"/>
  <c r="N16" i="1"/>
  <c r="N35" i="1"/>
  <c r="N36" i="1"/>
  <c r="N40" i="1"/>
  <c r="N41" i="1"/>
  <c r="N42" i="1"/>
  <c r="N47" i="1"/>
  <c r="N48" i="1"/>
  <c r="N52" i="1"/>
  <c r="N53" i="1"/>
  <c r="N54" i="1"/>
  <c r="N60" i="1"/>
  <c r="N71" i="1"/>
  <c r="N72" i="1"/>
  <c r="N73" i="1"/>
  <c r="N74" i="1"/>
  <c r="N39" i="1"/>
  <c r="N51" i="1"/>
  <c r="N58" i="1"/>
  <c r="N59" i="1"/>
  <c r="N61" i="1"/>
  <c r="N62" i="1"/>
  <c r="N63" i="1"/>
  <c r="N64" i="1"/>
  <c r="N65" i="1"/>
  <c r="N66" i="1"/>
  <c r="N69" i="1"/>
  <c r="N70" i="1"/>
  <c r="N34" i="1"/>
  <c r="N37" i="1"/>
  <c r="N38" i="1"/>
  <c r="N43" i="1"/>
  <c r="N44" i="1"/>
  <c r="N45" i="1"/>
  <c r="N46" i="1"/>
  <c r="N49" i="1"/>
  <c r="N50" i="1"/>
  <c r="N55" i="1"/>
  <c r="N56" i="1"/>
  <c r="N57" i="1"/>
  <c r="N67" i="1"/>
  <c r="N68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5" i="1"/>
  <c r="N14" i="1"/>
  <c r="N13" i="1"/>
  <c r="N12" i="1"/>
  <c r="N11" i="1"/>
  <c r="N10" i="1"/>
  <c r="N9" i="1"/>
  <c r="N8" i="1"/>
  <c r="N7" i="1"/>
  <c r="J6" i="1"/>
  <c r="N44" i="6" l="1"/>
  <c r="N46" i="6"/>
  <c r="N40" i="6"/>
  <c r="N36" i="6"/>
  <c r="N26" i="6"/>
  <c r="N25" i="6"/>
  <c r="N24" i="6"/>
  <c r="N20" i="6"/>
  <c r="N18" i="6"/>
  <c r="N10" i="6"/>
  <c r="N9" i="6"/>
  <c r="N6" i="6"/>
  <c r="N23" i="7"/>
  <c r="N33" i="7"/>
  <c r="N34" i="7"/>
  <c r="N19" i="9"/>
  <c r="N29" i="9"/>
  <c r="N34" i="9"/>
  <c r="N33" i="6"/>
  <c r="N6" i="7"/>
  <c r="N36" i="7"/>
  <c r="N41" i="7"/>
  <c r="N15" i="9"/>
  <c r="N11" i="6"/>
  <c r="N28" i="6"/>
  <c r="N39" i="6"/>
  <c r="N17" i="6"/>
  <c r="N7" i="7"/>
  <c r="N12" i="7"/>
  <c r="N26" i="7"/>
  <c r="N31" i="7"/>
  <c r="N16" i="9"/>
  <c r="N45" i="9"/>
  <c r="N13" i="7"/>
  <c r="N32" i="7"/>
  <c r="N47" i="7"/>
  <c r="N22" i="9"/>
  <c r="N44" i="9"/>
  <c r="N13" i="9"/>
  <c r="N37" i="9"/>
  <c r="N13" i="6"/>
  <c r="N29" i="6"/>
  <c r="N42" i="6"/>
  <c r="N50" i="6"/>
  <c r="N16" i="6"/>
  <c r="N19" i="6"/>
  <c r="N32" i="6"/>
  <c r="N45" i="6"/>
  <c r="N8" i="6"/>
  <c r="N7" i="6"/>
  <c r="N14" i="6"/>
  <c r="N30" i="6"/>
  <c r="N35" i="6"/>
  <c r="N22" i="6"/>
  <c r="N38" i="6"/>
  <c r="N21" i="6"/>
  <c r="N27" i="6"/>
  <c r="N37" i="6"/>
  <c r="N43" i="6"/>
  <c r="N6" i="1"/>
</calcChain>
</file>

<file path=xl/sharedStrings.xml><?xml version="1.0" encoding="utf-8"?>
<sst xmlns="http://schemas.openxmlformats.org/spreadsheetml/2006/main" count="446" uniqueCount="78">
  <si>
    <t>Crimson College of Technology</t>
  </si>
  <si>
    <t>Devinagar, Butwal-11, Ruapndehi</t>
  </si>
  <si>
    <t>Date:……………….…………</t>
  </si>
  <si>
    <t>SN</t>
  </si>
  <si>
    <t>Symbol No</t>
  </si>
  <si>
    <t>Name</t>
  </si>
  <si>
    <t>Attendance (3Marks)</t>
  </si>
  <si>
    <t>Assignments (5Marks)</t>
  </si>
  <si>
    <t>Unit Test (5Marks)</t>
  </si>
  <si>
    <t>Presentation (2Marks)</t>
  </si>
  <si>
    <t xml:space="preserve">Marks Obtained in First Term </t>
  </si>
  <si>
    <t>First Term Exam (10Marks)</t>
  </si>
  <si>
    <t>Send Up Exam Marks[100]</t>
  </si>
  <si>
    <t>Send-Up Marks After Conversion</t>
  </si>
  <si>
    <t>Grace Marks</t>
  </si>
  <si>
    <t>Total Marks (50%)</t>
  </si>
  <si>
    <t>……………………………..</t>
  </si>
  <si>
    <t>Lecturer Signature</t>
  </si>
  <si>
    <t>Program : BBA</t>
  </si>
  <si>
    <t>Semester : III</t>
  </si>
  <si>
    <t>Students'  Evaluation Sheet  Fall-2025</t>
  </si>
  <si>
    <t xml:space="preserve">Aarati Neupane </t>
  </si>
  <si>
    <t>Abisha Saru</t>
  </si>
  <si>
    <t>Abishek Pandey(PU)</t>
  </si>
  <si>
    <t>Alisha Sunuwar</t>
  </si>
  <si>
    <t>Amrit Pandey</t>
  </si>
  <si>
    <t>Aneesh Pun</t>
  </si>
  <si>
    <t>Anjana Baraghare</t>
  </si>
  <si>
    <t>Anjil Pantha</t>
  </si>
  <si>
    <t xml:space="preserve">Anshika Gupta </t>
  </si>
  <si>
    <t>Asmita Chaudhary</t>
  </si>
  <si>
    <t>Astha Thapa</t>
  </si>
  <si>
    <t>Babita Karki</t>
  </si>
  <si>
    <t>Bhawana Pangeni</t>
  </si>
  <si>
    <t>Bidhya Subedi</t>
  </si>
  <si>
    <t>Binod Bakabal</t>
  </si>
  <si>
    <t>Bipana Adhikari(PU)</t>
  </si>
  <si>
    <t>Bipin Pnadey(PU)</t>
  </si>
  <si>
    <t>Eugene Rai</t>
  </si>
  <si>
    <t>Himal kafle(PU)</t>
  </si>
  <si>
    <t>Ismile Khadka</t>
  </si>
  <si>
    <t>Jasmine Pun Magar</t>
  </si>
  <si>
    <t>kishor Panthi(PU)</t>
  </si>
  <si>
    <t>Krishna Kunwar(PU)</t>
  </si>
  <si>
    <t>Kritika Tandan(PU)</t>
  </si>
  <si>
    <t xml:space="preserve">Manish Gharti </t>
  </si>
  <si>
    <t>Manish Khanal(pu)</t>
  </si>
  <si>
    <t>Monika Gautam(PU)</t>
  </si>
  <si>
    <t>Monika Gupta(PU)</t>
  </si>
  <si>
    <t>Nishan Pandeya</t>
  </si>
  <si>
    <t>Pankaj Kurmi</t>
  </si>
  <si>
    <t>Prakriti k.c</t>
  </si>
  <si>
    <t>Pritam Pantha</t>
  </si>
  <si>
    <t>Priya Neupane</t>
  </si>
  <si>
    <t>Puspa Thapa</t>
  </si>
  <si>
    <t>Ramesh Saru</t>
  </si>
  <si>
    <t>Ritika Bada</t>
  </si>
  <si>
    <t xml:space="preserve">Ritika K.C </t>
  </si>
  <si>
    <t>Rohit Chaudhary</t>
  </si>
  <si>
    <t>Sachin Chudali</t>
  </si>
  <si>
    <t xml:space="preserve">Sanam Ale  </t>
  </si>
  <si>
    <t>Sandhya Aryal</t>
  </si>
  <si>
    <t xml:space="preserve">Sandhya Rijal </t>
  </si>
  <si>
    <t xml:space="preserve">Simran Thapa </t>
  </si>
  <si>
    <t>Usha Bashyal</t>
  </si>
  <si>
    <t>Sofiya Gurung</t>
  </si>
  <si>
    <t xml:space="preserve">Total Attendance </t>
  </si>
  <si>
    <t>Sub: Introduction to Macroeconomics</t>
  </si>
  <si>
    <t>Abs</t>
  </si>
  <si>
    <t>Sub: Essentials of Finance</t>
  </si>
  <si>
    <t>Sub: Principles of Marketing</t>
  </si>
  <si>
    <t>Sub: Cost and Management Accounting</t>
  </si>
  <si>
    <t>Sub: Digital Marketing Practicum</t>
  </si>
  <si>
    <t>Sub: Business Statistics</t>
  </si>
  <si>
    <t>Attendance (5 Marks)</t>
  </si>
  <si>
    <t>Discipline (5Marks)</t>
  </si>
  <si>
    <t>Presentation/Project (5 Marks)</t>
  </si>
  <si>
    <t>Discipline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</si>
</sst>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b/>
      <sz val="10"/>
      <color theme="1"/>
      <name val="Cambria"/>
      <family val="1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name val="Arial"/>
      <family val="1"/>
    </font>
    <font>
      <sz val="10"/>
      <name val="Arial"/>
      <family val="2"/>
    </font>
    <font>
      <b/>
      <i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gency FB"/>
      <family val="2"/>
    </font>
    <font>
      <b/>
      <sz val="10"/>
      <name val="Cambria"/>
      <family val="1"/>
    </font>
    <font>
      <b/>
      <sz val="10"/>
      <color theme="1"/>
      <name val="Calibri"/>
      <family val="2"/>
      <scheme val="minor"/>
    </font>
    <font>
      <b/>
      <sz val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0" xfId="0" applyFill="1"/>
    <xf numFmtId="0" fontId="2" fillId="2" borderId="3" xfId="0" applyFont="1" applyFill="1" applyBorder="1" applyAlignment="1">
      <alignment horizontal="center" vertical="top" wrapText="1"/>
    </xf>
    <xf numFmtId="0" fontId="3" fillId="0" borderId="3" xfId="0" applyFont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3" xfId="0" applyFont="1" applyFill="1" applyBorder="1"/>
    <xf numFmtId="0" fontId="3" fillId="2" borderId="0" xfId="0" applyFont="1" applyFill="1"/>
    <xf numFmtId="0" fontId="8" fillId="2" borderId="0" xfId="0" applyFont="1" applyFill="1"/>
    <xf numFmtId="0" fontId="11" fillId="2" borderId="0" xfId="0" applyFont="1" applyFill="1"/>
    <xf numFmtId="0" fontId="3" fillId="2" borderId="1" xfId="0" applyFont="1" applyFill="1" applyBorder="1" applyAlignment="1"/>
    <xf numFmtId="0" fontId="1" fillId="2" borderId="1" xfId="0" applyFont="1" applyFill="1" applyBorder="1" applyAlignment="1"/>
    <xf numFmtId="0" fontId="2" fillId="2" borderId="2" xfId="0" applyFont="1" applyFill="1" applyBorder="1" applyAlignment="1">
      <alignment horizontal="center" vertical="top"/>
    </xf>
    <xf numFmtId="0" fontId="2" fillId="2" borderId="5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1" fontId="3" fillId="2" borderId="7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9" xfId="0" applyFont="1" applyFill="1" applyBorder="1"/>
    <xf numFmtId="0" fontId="3" fillId="3" borderId="3" xfId="0" applyFont="1" applyFill="1" applyBorder="1"/>
    <xf numFmtId="0" fontId="3" fillId="0" borderId="3" xfId="0" applyFont="1" applyBorder="1"/>
    <xf numFmtId="0" fontId="7" fillId="0" borderId="10" xfId="0" applyFont="1" applyBorder="1" applyAlignment="1"/>
    <xf numFmtId="0" fontId="2" fillId="2" borderId="3" xfId="0" applyFont="1" applyFill="1" applyBorder="1" applyAlignment="1">
      <alignment horizontal="center"/>
    </xf>
    <xf numFmtId="0" fontId="12" fillId="2" borderId="5" xfId="0" applyFont="1" applyFill="1" applyBorder="1" applyAlignment="1">
      <alignment horizontal="center" vertical="top" wrapText="1"/>
    </xf>
    <xf numFmtId="0" fontId="6" fillId="2" borderId="8" xfId="0" applyFont="1" applyFill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" xfId="0" applyFont="1" applyFill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14" fillId="0" borderId="3" xfId="0" applyFont="1" applyFill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0" fillId="2" borderId="1" xfId="0" applyFont="1" applyFill="1" applyBorder="1" applyAlignment="1">
      <alignment horizontal="left"/>
    </xf>
    <xf numFmtId="0" fontId="3" fillId="2" borderId="0" xfId="0" applyFont="1" applyFill="1" applyBorder="1" applyAlignment="1"/>
    <xf numFmtId="0" fontId="1" fillId="2" borderId="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205055</xdr:colOff>
      <xdr:row>0</xdr:row>
      <xdr:rowOff>76638</xdr:rowOff>
    </xdr:from>
    <xdr:to>
      <xdr:col>1</xdr:col>
      <xdr:colOff>583364</xdr:colOff>
      <xdr:row>0</xdr:row>
      <xdr:rowOff>79563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055" y="76638"/>
          <a:ext cx="787884" cy="29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395791</xdr:colOff>
      <xdr:row>3</xdr:row>
      <xdr:rowOff>2737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05366" cy="6694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205055</xdr:colOff>
      <xdr:row>0</xdr:row>
      <xdr:rowOff>76638</xdr:rowOff>
    </xdr:from>
    <xdr:to>
      <xdr:col>1</xdr:col>
      <xdr:colOff>583364</xdr:colOff>
      <xdr:row>0</xdr:row>
      <xdr:rowOff>79563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055" y="76638"/>
          <a:ext cx="987909" cy="29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395791</xdr:colOff>
      <xdr:row>3</xdr:row>
      <xdr:rowOff>2737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5391" cy="57423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205055</xdr:colOff>
      <xdr:row>0</xdr:row>
      <xdr:rowOff>76638</xdr:rowOff>
    </xdr:from>
    <xdr:to>
      <xdr:col>1</xdr:col>
      <xdr:colOff>583364</xdr:colOff>
      <xdr:row>0</xdr:row>
      <xdr:rowOff>79563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055" y="76638"/>
          <a:ext cx="987909" cy="29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395791</xdr:colOff>
      <xdr:row>3</xdr:row>
      <xdr:rowOff>2737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5391" cy="57423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205055</xdr:colOff>
      <xdr:row>0</xdr:row>
      <xdr:rowOff>76638</xdr:rowOff>
    </xdr:from>
    <xdr:to>
      <xdr:col>1</xdr:col>
      <xdr:colOff>583364</xdr:colOff>
      <xdr:row>0</xdr:row>
      <xdr:rowOff>79563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055" y="76638"/>
          <a:ext cx="987909" cy="29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395791</xdr:colOff>
      <xdr:row>3</xdr:row>
      <xdr:rowOff>2737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5391" cy="57423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205055</xdr:colOff>
      <xdr:row>0</xdr:row>
      <xdr:rowOff>76638</xdr:rowOff>
    </xdr:from>
    <xdr:to>
      <xdr:col>1</xdr:col>
      <xdr:colOff>583364</xdr:colOff>
      <xdr:row>0</xdr:row>
      <xdr:rowOff>79563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055" y="76638"/>
          <a:ext cx="987909" cy="29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395791</xdr:colOff>
      <xdr:row>3</xdr:row>
      <xdr:rowOff>2737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5391" cy="57423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205055</xdr:colOff>
      <xdr:row>0</xdr:row>
      <xdr:rowOff>76638</xdr:rowOff>
    </xdr:from>
    <xdr:to>
      <xdr:col>1</xdr:col>
      <xdr:colOff>583364</xdr:colOff>
      <xdr:row>0</xdr:row>
      <xdr:rowOff>79563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055" y="76638"/>
          <a:ext cx="987909" cy="29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395791</xdr:colOff>
      <xdr:row>3</xdr:row>
      <xdr:rowOff>2737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5391" cy="5742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45"/>
  <sheetViews>
    <sheetView workbookViewId="0">
      <selection activeCell="L6" sqref="L6"/>
    </sheetView>
  </sheetViews>
  <sheetFormatPr defaultRowHeight="15" x14ac:dyDescent="0.25"/>
  <cols>
    <col min="3" max="3" width="27.140625" customWidth="1"/>
    <col min="4" max="4" width="13.85546875" customWidth="1"/>
    <col min="5" max="5" width="11.85546875" customWidth="1"/>
    <col min="6" max="6" width="13.140625" customWidth="1"/>
    <col min="8" max="8" width="12.7109375" customWidth="1"/>
    <col min="9" max="9" width="13.5703125" customWidth="1"/>
    <col min="10" max="10" width="14.42578125" customWidth="1"/>
    <col min="11" max="11" width="11.140625" customWidth="1"/>
    <col min="12" max="12" width="13.85546875" customWidth="1"/>
    <col min="13" max="13" width="11" customWidth="1"/>
    <col min="14" max="14" width="11.85546875" customWidth="1"/>
  </cols>
  <sheetData>
    <row r="1" spans="1:20" x14ac:dyDescent="0.25">
      <c r="A1" s="43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1"/>
      <c r="P1" s="1"/>
      <c r="Q1" s="1"/>
      <c r="R1" s="1"/>
      <c r="S1" s="1"/>
      <c r="T1" s="1"/>
    </row>
    <row r="2" spans="1:20" x14ac:dyDescent="0.25">
      <c r="A2" s="43" t="s">
        <v>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1"/>
      <c r="P2" s="1"/>
      <c r="Q2" s="1"/>
      <c r="R2" s="1"/>
      <c r="S2" s="1"/>
      <c r="T2" s="1"/>
    </row>
    <row r="3" spans="1:20" x14ac:dyDescent="0.25">
      <c r="A3" s="44" t="s">
        <v>20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1"/>
      <c r="P3" s="1"/>
      <c r="Q3" s="1"/>
      <c r="R3" s="1"/>
      <c r="S3" s="1"/>
      <c r="T3" s="1"/>
    </row>
    <row r="4" spans="1:20" ht="15.75" thickBot="1" x14ac:dyDescent="0.3">
      <c r="A4" s="45" t="s">
        <v>18</v>
      </c>
      <c r="B4" s="46"/>
      <c r="C4" s="47" t="s">
        <v>19</v>
      </c>
      <c r="D4" s="48"/>
      <c r="E4" s="48"/>
      <c r="F4" s="12" t="s">
        <v>67</v>
      </c>
      <c r="G4" s="10"/>
      <c r="H4" s="13"/>
      <c r="I4" s="10"/>
      <c r="J4" s="10"/>
      <c r="K4" s="10"/>
      <c r="L4" s="14" t="s">
        <v>2</v>
      </c>
      <c r="M4" s="10"/>
      <c r="N4" s="10"/>
      <c r="O4" s="1"/>
      <c r="P4" s="1"/>
      <c r="Q4" s="1"/>
      <c r="R4" s="1"/>
      <c r="S4" s="1"/>
      <c r="T4" s="1"/>
    </row>
    <row r="5" spans="1:20" ht="39" thickBot="1" x14ac:dyDescent="0.3">
      <c r="A5" s="15" t="s">
        <v>3</v>
      </c>
      <c r="B5" s="2" t="s">
        <v>4</v>
      </c>
      <c r="C5" s="2" t="s">
        <v>5</v>
      </c>
      <c r="D5" s="16" t="s">
        <v>66</v>
      </c>
      <c r="E5" s="32" t="s">
        <v>74</v>
      </c>
      <c r="F5" s="16" t="s">
        <v>7</v>
      </c>
      <c r="G5" s="32" t="s">
        <v>75</v>
      </c>
      <c r="H5" s="32" t="s">
        <v>76</v>
      </c>
      <c r="I5" s="16" t="s">
        <v>10</v>
      </c>
      <c r="J5" s="17" t="s">
        <v>11</v>
      </c>
      <c r="K5" s="2" t="s">
        <v>12</v>
      </c>
      <c r="L5" s="18" t="s">
        <v>13</v>
      </c>
      <c r="M5" s="16" t="s">
        <v>14</v>
      </c>
      <c r="N5" s="16" t="s">
        <v>15</v>
      </c>
      <c r="O5" s="1"/>
      <c r="P5" s="1"/>
      <c r="Q5" s="1"/>
      <c r="R5" s="1"/>
      <c r="S5" s="1"/>
      <c r="T5" s="1"/>
    </row>
    <row r="6" spans="1:20" x14ac:dyDescent="0.25">
      <c r="A6" s="19">
        <v>1</v>
      </c>
      <c r="B6" s="8">
        <v>24032460</v>
      </c>
      <c r="C6" s="9" t="s">
        <v>21</v>
      </c>
      <c r="D6" s="3"/>
      <c r="E6" s="8">
        <v>5</v>
      </c>
      <c r="F6" s="8">
        <v>5</v>
      </c>
      <c r="G6" s="8">
        <v>5</v>
      </c>
      <c r="H6" s="8">
        <v>5</v>
      </c>
      <c r="I6" s="5">
        <v>30</v>
      </c>
      <c r="J6" s="20">
        <f>I6/5</f>
        <v>6</v>
      </c>
      <c r="K6" s="33">
        <v>45</v>
      </c>
      <c r="L6" s="8">
        <f>K6/5</f>
        <v>9</v>
      </c>
      <c r="M6" s="8"/>
      <c r="N6" s="22">
        <f>E6+F6+G6+H6+J6+L6+M6</f>
        <v>35</v>
      </c>
      <c r="O6" s="1"/>
      <c r="P6" s="1"/>
      <c r="Q6" s="1"/>
      <c r="R6" s="1"/>
      <c r="S6" s="1"/>
      <c r="T6" s="1"/>
    </row>
    <row r="7" spans="1:20" ht="15.75" customHeight="1" x14ac:dyDescent="0.25">
      <c r="A7" s="19">
        <v>2</v>
      </c>
      <c r="B7" s="8">
        <v>24032461</v>
      </c>
      <c r="C7" s="9" t="s">
        <v>22</v>
      </c>
      <c r="D7" s="3"/>
      <c r="E7" s="8">
        <v>5</v>
      </c>
      <c r="F7" s="8">
        <v>5</v>
      </c>
      <c r="G7" s="8">
        <v>5</v>
      </c>
      <c r="H7" s="8">
        <v>5</v>
      </c>
      <c r="I7" s="5">
        <v>10</v>
      </c>
      <c r="J7" s="20">
        <f t="shared" ref="J7:J70" si="0">I7/5</f>
        <v>2</v>
      </c>
      <c r="K7" s="6">
        <v>7</v>
      </c>
      <c r="L7" s="8">
        <f t="shared" ref="L7:L70" si="1">K7/5</f>
        <v>1.4</v>
      </c>
      <c r="M7" s="8"/>
      <c r="N7" s="22">
        <f t="shared" ref="N7:N70" si="2">E7+F7+G7+H7+J7+L7+M7</f>
        <v>23.4</v>
      </c>
      <c r="O7" s="1"/>
      <c r="P7" s="1"/>
      <c r="Q7" s="1"/>
      <c r="R7" s="1"/>
      <c r="S7" s="1"/>
      <c r="T7" s="1"/>
    </row>
    <row r="8" spans="1:20" x14ac:dyDescent="0.25">
      <c r="A8" s="19">
        <v>3</v>
      </c>
      <c r="B8" s="8">
        <v>24032462</v>
      </c>
      <c r="C8" s="9" t="s">
        <v>23</v>
      </c>
      <c r="D8" s="3"/>
      <c r="E8" s="8">
        <v>5</v>
      </c>
      <c r="F8" s="8">
        <v>5</v>
      </c>
      <c r="G8" s="8">
        <v>5</v>
      </c>
      <c r="H8" s="8">
        <v>5</v>
      </c>
      <c r="I8" s="5">
        <v>29</v>
      </c>
      <c r="J8" s="20">
        <f t="shared" si="0"/>
        <v>5.8</v>
      </c>
      <c r="K8" s="6">
        <v>72</v>
      </c>
      <c r="L8" s="8">
        <f t="shared" si="1"/>
        <v>14.4</v>
      </c>
      <c r="M8" s="8"/>
      <c r="N8" s="22">
        <f t="shared" si="2"/>
        <v>40.200000000000003</v>
      </c>
      <c r="O8" s="1"/>
      <c r="P8" s="1"/>
      <c r="Q8" s="1"/>
      <c r="R8" s="1"/>
      <c r="S8" s="1"/>
      <c r="T8" s="1"/>
    </row>
    <row r="9" spans="1:20" x14ac:dyDescent="0.25">
      <c r="A9" s="19">
        <v>4</v>
      </c>
      <c r="B9" s="8">
        <v>24032463</v>
      </c>
      <c r="C9" s="9" t="s">
        <v>24</v>
      </c>
      <c r="D9" s="3"/>
      <c r="E9" s="8">
        <v>5</v>
      </c>
      <c r="F9" s="8">
        <v>5</v>
      </c>
      <c r="G9" s="8">
        <v>5</v>
      </c>
      <c r="H9" s="8">
        <v>5</v>
      </c>
      <c r="I9" s="5">
        <v>16</v>
      </c>
      <c r="J9" s="20">
        <f t="shared" si="0"/>
        <v>3.2</v>
      </c>
      <c r="K9" s="8">
        <v>45</v>
      </c>
      <c r="L9" s="8">
        <f t="shared" si="1"/>
        <v>9</v>
      </c>
      <c r="M9" s="8"/>
      <c r="N9" s="22">
        <f t="shared" si="2"/>
        <v>32.200000000000003</v>
      </c>
      <c r="O9" s="1"/>
      <c r="P9" s="1"/>
      <c r="Q9" s="1"/>
      <c r="R9" s="1"/>
      <c r="S9" s="1"/>
      <c r="T9" s="1"/>
    </row>
    <row r="10" spans="1:20" x14ac:dyDescent="0.25">
      <c r="A10" s="19">
        <v>5</v>
      </c>
      <c r="B10" s="8">
        <v>24032464</v>
      </c>
      <c r="C10" s="9" t="s">
        <v>25</v>
      </c>
      <c r="D10" s="3"/>
      <c r="E10" s="8">
        <v>5</v>
      </c>
      <c r="F10" s="8">
        <v>5</v>
      </c>
      <c r="G10" s="8">
        <v>5</v>
      </c>
      <c r="H10" s="8">
        <v>5</v>
      </c>
      <c r="I10" s="5" t="s">
        <v>68</v>
      </c>
      <c r="J10" s="20" t="e">
        <f t="shared" si="0"/>
        <v>#VALUE!</v>
      </c>
      <c r="K10" s="8" t="s">
        <v>68</v>
      </c>
      <c r="L10" s="8" t="e">
        <f t="shared" si="1"/>
        <v>#VALUE!</v>
      </c>
      <c r="M10" s="8"/>
      <c r="N10" s="22" t="e">
        <f t="shared" si="2"/>
        <v>#VALUE!</v>
      </c>
      <c r="O10" s="1"/>
      <c r="P10" s="1"/>
      <c r="Q10" s="1"/>
      <c r="R10" s="1"/>
      <c r="S10" s="1"/>
      <c r="T10" s="1"/>
    </row>
    <row r="11" spans="1:20" x14ac:dyDescent="0.25">
      <c r="A11" s="19">
        <v>6</v>
      </c>
      <c r="B11" s="8">
        <v>24032465</v>
      </c>
      <c r="C11" s="9" t="s">
        <v>26</v>
      </c>
      <c r="D11" s="3"/>
      <c r="E11" s="8">
        <v>5</v>
      </c>
      <c r="F11" s="8">
        <v>5</v>
      </c>
      <c r="G11" s="8">
        <v>5</v>
      </c>
      <c r="H11" s="8">
        <v>5</v>
      </c>
      <c r="I11" s="5" t="s">
        <v>68</v>
      </c>
      <c r="J11" s="20" t="e">
        <f t="shared" si="0"/>
        <v>#VALUE!</v>
      </c>
      <c r="K11" s="6" t="s">
        <v>68</v>
      </c>
      <c r="L11" s="8" t="e">
        <f t="shared" si="1"/>
        <v>#VALUE!</v>
      </c>
      <c r="M11" s="8"/>
      <c r="N11" s="22" t="e">
        <f t="shared" si="2"/>
        <v>#VALUE!</v>
      </c>
      <c r="O11" s="1"/>
      <c r="P11" s="1"/>
      <c r="Q11" s="1"/>
      <c r="R11" s="1"/>
      <c r="S11" s="1"/>
      <c r="T11" s="1"/>
    </row>
    <row r="12" spans="1:20" x14ac:dyDescent="0.25">
      <c r="A12" s="19">
        <v>7</v>
      </c>
      <c r="B12" s="8">
        <v>24032466</v>
      </c>
      <c r="C12" s="9" t="s">
        <v>27</v>
      </c>
      <c r="D12" s="3"/>
      <c r="E12" s="8">
        <v>5</v>
      </c>
      <c r="F12" s="8">
        <v>5</v>
      </c>
      <c r="G12" s="8">
        <v>5</v>
      </c>
      <c r="H12" s="8">
        <v>5</v>
      </c>
      <c r="I12" s="5">
        <v>10</v>
      </c>
      <c r="J12" s="20">
        <f t="shared" si="0"/>
        <v>2</v>
      </c>
      <c r="K12" s="6">
        <v>7</v>
      </c>
      <c r="L12" s="8">
        <f t="shared" si="1"/>
        <v>1.4</v>
      </c>
      <c r="M12" s="8"/>
      <c r="N12" s="22">
        <f t="shared" si="2"/>
        <v>23.4</v>
      </c>
      <c r="O12" s="1"/>
      <c r="P12" s="1"/>
      <c r="Q12" s="1"/>
      <c r="R12" s="1"/>
      <c r="S12" s="1"/>
      <c r="T12" s="1"/>
    </row>
    <row r="13" spans="1:20" x14ac:dyDescent="0.25">
      <c r="A13" s="19">
        <v>8</v>
      </c>
      <c r="B13" s="8">
        <v>24032467</v>
      </c>
      <c r="C13" s="9" t="s">
        <v>28</v>
      </c>
      <c r="D13" s="3"/>
      <c r="E13" s="8">
        <v>5</v>
      </c>
      <c r="F13" s="8">
        <v>5</v>
      </c>
      <c r="G13" s="8">
        <v>5</v>
      </c>
      <c r="H13" s="8">
        <v>5</v>
      </c>
      <c r="I13" s="5">
        <v>12</v>
      </c>
      <c r="J13" s="20">
        <f t="shared" si="0"/>
        <v>2.4</v>
      </c>
      <c r="K13" s="6">
        <v>4</v>
      </c>
      <c r="L13" s="8">
        <f t="shared" si="1"/>
        <v>0.8</v>
      </c>
      <c r="M13" s="8"/>
      <c r="N13" s="22">
        <f t="shared" si="2"/>
        <v>23.2</v>
      </c>
      <c r="O13" s="1"/>
      <c r="P13" s="1"/>
      <c r="Q13" s="1"/>
      <c r="R13" s="1"/>
      <c r="S13" s="1"/>
      <c r="T13" s="1"/>
    </row>
    <row r="14" spans="1:20" x14ac:dyDescent="0.25">
      <c r="A14" s="19">
        <v>9</v>
      </c>
      <c r="B14" s="8">
        <v>24032468</v>
      </c>
      <c r="C14" s="9" t="s">
        <v>29</v>
      </c>
      <c r="D14" s="3"/>
      <c r="E14" s="8">
        <v>5</v>
      </c>
      <c r="F14" s="8">
        <v>5</v>
      </c>
      <c r="G14" s="8">
        <v>5</v>
      </c>
      <c r="H14" s="8">
        <v>5</v>
      </c>
      <c r="I14" s="5">
        <v>36</v>
      </c>
      <c r="J14" s="20">
        <f t="shared" si="0"/>
        <v>7.2</v>
      </c>
      <c r="K14" s="6">
        <v>60</v>
      </c>
      <c r="L14" s="8">
        <f t="shared" si="1"/>
        <v>12</v>
      </c>
      <c r="M14" s="8"/>
      <c r="N14" s="22">
        <f t="shared" si="2"/>
        <v>39.200000000000003</v>
      </c>
      <c r="O14" s="1"/>
      <c r="P14" s="1"/>
      <c r="Q14" s="1"/>
      <c r="R14" s="1"/>
      <c r="S14" s="1"/>
      <c r="T14" s="1"/>
    </row>
    <row r="15" spans="1:20" x14ac:dyDescent="0.25">
      <c r="A15" s="19">
        <v>10</v>
      </c>
      <c r="B15" s="8">
        <v>24032469</v>
      </c>
      <c r="C15" s="9" t="s">
        <v>30</v>
      </c>
      <c r="D15" s="3"/>
      <c r="E15" s="8">
        <v>5</v>
      </c>
      <c r="F15" s="8">
        <v>5</v>
      </c>
      <c r="G15" s="8">
        <v>5</v>
      </c>
      <c r="H15" s="8">
        <v>5</v>
      </c>
      <c r="I15" s="5">
        <v>18</v>
      </c>
      <c r="J15" s="20">
        <f t="shared" si="0"/>
        <v>3.6</v>
      </c>
      <c r="K15" s="6">
        <v>15</v>
      </c>
      <c r="L15" s="8">
        <f t="shared" si="1"/>
        <v>3</v>
      </c>
      <c r="M15" s="8"/>
      <c r="N15" s="22">
        <f t="shared" si="2"/>
        <v>26.6</v>
      </c>
      <c r="O15" s="1"/>
      <c r="P15" s="1"/>
      <c r="Q15" s="1"/>
      <c r="R15" s="1"/>
      <c r="S15" s="1"/>
      <c r="T15" s="1"/>
    </row>
    <row r="16" spans="1:20" x14ac:dyDescent="0.25">
      <c r="A16" s="19">
        <v>11</v>
      </c>
      <c r="B16" s="8">
        <v>24032470</v>
      </c>
      <c r="C16" s="9" t="s">
        <v>31</v>
      </c>
      <c r="D16" s="3"/>
      <c r="E16" s="8">
        <v>5</v>
      </c>
      <c r="F16" s="8">
        <v>5</v>
      </c>
      <c r="G16" s="8">
        <v>5</v>
      </c>
      <c r="H16" s="8">
        <v>5</v>
      </c>
      <c r="I16" s="5">
        <v>5</v>
      </c>
      <c r="J16" s="20">
        <f t="shared" si="0"/>
        <v>1</v>
      </c>
      <c r="K16" s="8">
        <v>5</v>
      </c>
      <c r="L16" s="8">
        <f t="shared" si="1"/>
        <v>1</v>
      </c>
      <c r="M16" s="3"/>
      <c r="N16" s="22">
        <f t="shared" si="2"/>
        <v>22</v>
      </c>
      <c r="O16" s="1"/>
      <c r="P16" s="1"/>
      <c r="Q16" s="1"/>
      <c r="R16" s="1"/>
      <c r="S16" s="1"/>
      <c r="T16" s="1"/>
    </row>
    <row r="17" spans="1:20" x14ac:dyDescent="0.25">
      <c r="A17" s="19">
        <v>12</v>
      </c>
      <c r="B17" s="8">
        <v>24032471</v>
      </c>
      <c r="C17" s="9" t="s">
        <v>32</v>
      </c>
      <c r="D17" s="3"/>
      <c r="E17" s="8">
        <v>5</v>
      </c>
      <c r="F17" s="8">
        <v>5</v>
      </c>
      <c r="G17" s="8">
        <v>5</v>
      </c>
      <c r="H17" s="8">
        <v>5</v>
      </c>
      <c r="I17" s="5">
        <v>28</v>
      </c>
      <c r="J17" s="20">
        <f t="shared" si="0"/>
        <v>5.6</v>
      </c>
      <c r="K17" s="5">
        <v>30</v>
      </c>
      <c r="L17" s="8">
        <f t="shared" si="1"/>
        <v>6</v>
      </c>
      <c r="M17" s="8"/>
      <c r="N17" s="22">
        <f t="shared" si="2"/>
        <v>31.6</v>
      </c>
      <c r="O17" s="1"/>
      <c r="P17" s="1"/>
      <c r="Q17" s="1"/>
      <c r="R17" s="1"/>
      <c r="S17" s="1"/>
      <c r="T17" s="1"/>
    </row>
    <row r="18" spans="1:20" x14ac:dyDescent="0.25">
      <c r="A18" s="19">
        <v>13</v>
      </c>
      <c r="B18" s="8">
        <v>24032472</v>
      </c>
      <c r="C18" s="9" t="s">
        <v>33</v>
      </c>
      <c r="D18" s="3"/>
      <c r="E18" s="8">
        <v>5</v>
      </c>
      <c r="F18" s="8">
        <v>5</v>
      </c>
      <c r="G18" s="8">
        <v>5</v>
      </c>
      <c r="H18" s="8">
        <v>5</v>
      </c>
      <c r="I18" s="5">
        <v>36</v>
      </c>
      <c r="J18" s="20">
        <f t="shared" si="0"/>
        <v>7.2</v>
      </c>
      <c r="K18" s="6">
        <v>28</v>
      </c>
      <c r="L18" s="8">
        <f t="shared" si="1"/>
        <v>5.6</v>
      </c>
      <c r="M18" s="8"/>
      <c r="N18" s="22">
        <f t="shared" si="2"/>
        <v>32.799999999999997</v>
      </c>
      <c r="O18" s="1"/>
      <c r="P18" s="1"/>
      <c r="Q18" s="1"/>
      <c r="R18" s="1"/>
      <c r="S18" s="1"/>
      <c r="T18" s="1"/>
    </row>
    <row r="19" spans="1:20" x14ac:dyDescent="0.25">
      <c r="A19" s="19">
        <v>14</v>
      </c>
      <c r="B19" s="8">
        <v>24032473</v>
      </c>
      <c r="C19" s="9" t="s">
        <v>34</v>
      </c>
      <c r="D19" s="3"/>
      <c r="E19" s="8">
        <v>5</v>
      </c>
      <c r="F19" s="8">
        <v>5</v>
      </c>
      <c r="G19" s="8">
        <v>5</v>
      </c>
      <c r="H19" s="8">
        <v>5</v>
      </c>
      <c r="I19" s="5">
        <v>32</v>
      </c>
      <c r="J19" s="20">
        <f t="shared" si="0"/>
        <v>6.4</v>
      </c>
      <c r="K19" s="8">
        <v>63</v>
      </c>
      <c r="L19" s="8">
        <f t="shared" si="1"/>
        <v>12.6</v>
      </c>
      <c r="M19" s="3"/>
      <c r="N19" s="22">
        <f t="shared" si="2"/>
        <v>39</v>
      </c>
      <c r="O19" s="1"/>
      <c r="P19" s="1"/>
      <c r="Q19" s="1"/>
      <c r="R19" s="1"/>
      <c r="S19" s="1"/>
      <c r="T19" s="1"/>
    </row>
    <row r="20" spans="1:20" ht="14.25" customHeight="1" x14ac:dyDescent="0.25">
      <c r="A20" s="19">
        <v>15</v>
      </c>
      <c r="B20" s="8">
        <v>24032474</v>
      </c>
      <c r="C20" s="9" t="s">
        <v>35</v>
      </c>
      <c r="D20" s="3"/>
      <c r="E20" s="8">
        <v>5</v>
      </c>
      <c r="F20" s="8">
        <v>5</v>
      </c>
      <c r="G20" s="8">
        <v>5</v>
      </c>
      <c r="H20" s="8">
        <v>5</v>
      </c>
      <c r="I20" s="5">
        <v>29</v>
      </c>
      <c r="J20" s="20">
        <f t="shared" si="0"/>
        <v>5.8</v>
      </c>
      <c r="K20" s="6">
        <v>50</v>
      </c>
      <c r="L20" s="8">
        <f t="shared" si="1"/>
        <v>10</v>
      </c>
      <c r="M20" s="8"/>
      <c r="N20" s="22">
        <f t="shared" si="2"/>
        <v>35.799999999999997</v>
      </c>
      <c r="O20" s="1"/>
      <c r="P20" s="1"/>
      <c r="Q20" s="1"/>
      <c r="R20" s="1"/>
      <c r="S20" s="1"/>
      <c r="T20" s="1"/>
    </row>
    <row r="21" spans="1:20" x14ac:dyDescent="0.25">
      <c r="A21" s="19">
        <v>16</v>
      </c>
      <c r="B21" s="8">
        <v>24032475</v>
      </c>
      <c r="C21" s="9" t="s">
        <v>36</v>
      </c>
      <c r="D21" s="3"/>
      <c r="E21" s="8">
        <v>5</v>
      </c>
      <c r="F21" s="8">
        <v>5</v>
      </c>
      <c r="G21" s="8">
        <v>5</v>
      </c>
      <c r="H21" s="8">
        <v>5</v>
      </c>
      <c r="I21" s="5">
        <v>17</v>
      </c>
      <c r="J21" s="20">
        <f t="shared" si="0"/>
        <v>3.4</v>
      </c>
      <c r="K21" s="6">
        <v>8</v>
      </c>
      <c r="L21" s="8">
        <f t="shared" si="1"/>
        <v>1.6</v>
      </c>
      <c r="M21" s="8"/>
      <c r="N21" s="22">
        <f t="shared" si="2"/>
        <v>25</v>
      </c>
      <c r="O21" s="1"/>
      <c r="P21" s="1"/>
      <c r="Q21" s="1"/>
      <c r="R21" s="1"/>
      <c r="S21" s="1"/>
      <c r="T21" s="1"/>
    </row>
    <row r="22" spans="1:20" x14ac:dyDescent="0.25">
      <c r="A22" s="19">
        <v>17</v>
      </c>
      <c r="B22" s="8">
        <v>24032476</v>
      </c>
      <c r="C22" s="9" t="s">
        <v>37</v>
      </c>
      <c r="D22" s="3"/>
      <c r="E22" s="8">
        <v>5</v>
      </c>
      <c r="F22" s="8">
        <v>5</v>
      </c>
      <c r="G22" s="8">
        <v>5</v>
      </c>
      <c r="H22" s="8">
        <v>5</v>
      </c>
      <c r="I22" s="5">
        <v>22</v>
      </c>
      <c r="J22" s="20">
        <f t="shared" si="0"/>
        <v>4.4000000000000004</v>
      </c>
      <c r="K22" s="6">
        <v>75</v>
      </c>
      <c r="L22" s="8">
        <f t="shared" si="1"/>
        <v>15</v>
      </c>
      <c r="M22" s="8"/>
      <c r="N22" s="22">
        <f t="shared" si="2"/>
        <v>39.4</v>
      </c>
      <c r="O22" s="1"/>
      <c r="P22" s="1"/>
      <c r="Q22" s="1"/>
      <c r="R22" s="1"/>
      <c r="S22" s="1"/>
      <c r="T22" s="1"/>
    </row>
    <row r="23" spans="1:20" x14ac:dyDescent="0.25">
      <c r="A23" s="19">
        <v>18</v>
      </c>
      <c r="B23" s="8">
        <v>24032477</v>
      </c>
      <c r="C23" s="9" t="s">
        <v>38</v>
      </c>
      <c r="D23" s="3"/>
      <c r="E23" s="8">
        <v>5</v>
      </c>
      <c r="F23" s="8">
        <v>5</v>
      </c>
      <c r="G23" s="8">
        <v>5</v>
      </c>
      <c r="H23" s="8">
        <v>5</v>
      </c>
      <c r="I23" s="5">
        <v>32</v>
      </c>
      <c r="J23" s="20">
        <f t="shared" si="0"/>
        <v>6.4</v>
      </c>
      <c r="K23" s="6">
        <v>52</v>
      </c>
      <c r="L23" s="8">
        <f t="shared" si="1"/>
        <v>10.4</v>
      </c>
      <c r="M23" s="8"/>
      <c r="N23" s="22">
        <f t="shared" si="2"/>
        <v>36.799999999999997</v>
      </c>
      <c r="O23" s="1"/>
      <c r="P23" s="1"/>
      <c r="Q23" s="1"/>
      <c r="R23" s="1"/>
      <c r="S23" s="1"/>
      <c r="T23" s="1"/>
    </row>
    <row r="24" spans="1:20" x14ac:dyDescent="0.25">
      <c r="A24" s="19">
        <v>19</v>
      </c>
      <c r="B24" s="8">
        <v>24032478</v>
      </c>
      <c r="C24" s="9" t="s">
        <v>39</v>
      </c>
      <c r="D24" s="3"/>
      <c r="E24" s="8">
        <v>5</v>
      </c>
      <c r="F24" s="8">
        <v>5</v>
      </c>
      <c r="G24" s="8">
        <v>5</v>
      </c>
      <c r="H24" s="8">
        <v>5</v>
      </c>
      <c r="I24" s="5">
        <v>30</v>
      </c>
      <c r="J24" s="20">
        <f t="shared" si="0"/>
        <v>6</v>
      </c>
      <c r="K24" s="6">
        <v>70</v>
      </c>
      <c r="L24" s="8">
        <f t="shared" si="1"/>
        <v>14</v>
      </c>
      <c r="M24" s="8"/>
      <c r="N24" s="22">
        <f t="shared" si="2"/>
        <v>40</v>
      </c>
      <c r="O24" s="1"/>
      <c r="P24" s="1"/>
      <c r="Q24" s="1"/>
      <c r="R24" s="1"/>
      <c r="S24" s="1"/>
      <c r="T24" s="1"/>
    </row>
    <row r="25" spans="1:20" x14ac:dyDescent="0.25">
      <c r="A25" s="19">
        <v>20</v>
      </c>
      <c r="B25" s="8">
        <v>24032479</v>
      </c>
      <c r="C25" s="9" t="s">
        <v>40</v>
      </c>
      <c r="D25" s="3"/>
      <c r="E25" s="8">
        <v>5</v>
      </c>
      <c r="F25" s="8">
        <v>5</v>
      </c>
      <c r="G25" s="8">
        <v>5</v>
      </c>
      <c r="H25" s="8">
        <v>5</v>
      </c>
      <c r="I25" s="5">
        <v>2</v>
      </c>
      <c r="J25" s="20">
        <f t="shared" si="0"/>
        <v>0.4</v>
      </c>
      <c r="K25" s="8">
        <v>9</v>
      </c>
      <c r="L25" s="8">
        <f t="shared" si="1"/>
        <v>1.8</v>
      </c>
      <c r="M25" s="3"/>
      <c r="N25" s="22">
        <f t="shared" si="2"/>
        <v>22.2</v>
      </c>
      <c r="O25" s="1"/>
      <c r="P25" s="1"/>
      <c r="Q25" s="1"/>
      <c r="R25" s="1"/>
      <c r="S25" s="1"/>
      <c r="T25" s="1"/>
    </row>
    <row r="26" spans="1:20" ht="15.75" customHeight="1" x14ac:dyDescent="0.25">
      <c r="A26" s="19">
        <v>21</v>
      </c>
      <c r="B26" s="8">
        <v>24032480</v>
      </c>
      <c r="C26" s="9" t="s">
        <v>41</v>
      </c>
      <c r="D26" s="3"/>
      <c r="E26" s="8">
        <v>5</v>
      </c>
      <c r="F26" s="8">
        <v>5</v>
      </c>
      <c r="G26" s="8">
        <v>5</v>
      </c>
      <c r="H26" s="8">
        <v>5</v>
      </c>
      <c r="I26" s="5">
        <v>15</v>
      </c>
      <c r="J26" s="20">
        <f t="shared" si="0"/>
        <v>3</v>
      </c>
      <c r="K26" s="8">
        <v>5</v>
      </c>
      <c r="L26" s="8">
        <f t="shared" si="1"/>
        <v>1</v>
      </c>
      <c r="M26" s="3"/>
      <c r="N26" s="22">
        <f t="shared" si="2"/>
        <v>24</v>
      </c>
      <c r="O26" s="1"/>
      <c r="P26" s="1"/>
      <c r="Q26" s="1"/>
      <c r="R26" s="1"/>
      <c r="S26" s="1"/>
      <c r="T26" s="1"/>
    </row>
    <row r="27" spans="1:20" x14ac:dyDescent="0.25">
      <c r="A27" s="19">
        <v>22</v>
      </c>
      <c r="B27" s="8">
        <v>24032481</v>
      </c>
      <c r="C27" s="9" t="s">
        <v>42</v>
      </c>
      <c r="D27" s="3"/>
      <c r="E27" s="8">
        <v>5</v>
      </c>
      <c r="F27" s="8">
        <v>5</v>
      </c>
      <c r="G27" s="8">
        <v>5</v>
      </c>
      <c r="H27" s="8">
        <v>5</v>
      </c>
      <c r="I27" s="5">
        <v>39</v>
      </c>
      <c r="J27" s="20">
        <f t="shared" si="0"/>
        <v>7.8</v>
      </c>
      <c r="K27" s="6">
        <v>85</v>
      </c>
      <c r="L27" s="8">
        <f t="shared" si="1"/>
        <v>17</v>
      </c>
      <c r="M27" s="8"/>
      <c r="N27" s="22">
        <f t="shared" si="2"/>
        <v>44.8</v>
      </c>
      <c r="O27" s="1"/>
      <c r="P27" s="1"/>
      <c r="Q27" s="1"/>
      <c r="R27" s="1"/>
      <c r="S27" s="1"/>
      <c r="T27" s="1"/>
    </row>
    <row r="28" spans="1:20" x14ac:dyDescent="0.25">
      <c r="A28" s="19">
        <v>23</v>
      </c>
      <c r="B28" s="8">
        <v>24032482</v>
      </c>
      <c r="C28" s="9" t="s">
        <v>43</v>
      </c>
      <c r="D28" s="3"/>
      <c r="E28" s="8">
        <v>5</v>
      </c>
      <c r="F28" s="8">
        <v>5</v>
      </c>
      <c r="G28" s="8">
        <v>5</v>
      </c>
      <c r="H28" s="8">
        <v>5</v>
      </c>
      <c r="I28" s="6">
        <v>42</v>
      </c>
      <c r="J28" s="20">
        <f t="shared" si="0"/>
        <v>8.4</v>
      </c>
      <c r="K28" s="6">
        <v>80</v>
      </c>
      <c r="L28" s="8">
        <f t="shared" si="1"/>
        <v>16</v>
      </c>
      <c r="M28" s="8"/>
      <c r="N28" s="22">
        <f t="shared" si="2"/>
        <v>44.4</v>
      </c>
      <c r="O28" s="1"/>
      <c r="P28" s="1"/>
      <c r="Q28" s="1"/>
      <c r="R28" s="1"/>
      <c r="S28" s="1"/>
      <c r="T28" s="1"/>
    </row>
    <row r="29" spans="1:20" x14ac:dyDescent="0.25">
      <c r="A29" s="19">
        <v>24</v>
      </c>
      <c r="B29" s="8">
        <v>24032483</v>
      </c>
      <c r="C29" s="9" t="s">
        <v>44</v>
      </c>
      <c r="D29" s="3"/>
      <c r="E29" s="8">
        <v>5</v>
      </c>
      <c r="F29" s="8">
        <v>5</v>
      </c>
      <c r="G29" s="8">
        <v>5</v>
      </c>
      <c r="H29" s="8">
        <v>5</v>
      </c>
      <c r="I29" s="6">
        <v>40</v>
      </c>
      <c r="J29" s="20">
        <f t="shared" si="0"/>
        <v>8</v>
      </c>
      <c r="K29" s="5">
        <v>70</v>
      </c>
      <c r="L29" s="8">
        <f t="shared" si="1"/>
        <v>14</v>
      </c>
      <c r="M29" s="8"/>
      <c r="N29" s="22">
        <f t="shared" si="2"/>
        <v>42</v>
      </c>
      <c r="O29" s="1"/>
      <c r="P29" s="1"/>
      <c r="Q29" s="1"/>
      <c r="R29" s="1"/>
      <c r="S29" s="1"/>
      <c r="T29" s="1"/>
    </row>
    <row r="30" spans="1:20" x14ac:dyDescent="0.25">
      <c r="A30" s="19">
        <v>25</v>
      </c>
      <c r="B30" s="8">
        <v>24032484</v>
      </c>
      <c r="C30" s="9" t="s">
        <v>45</v>
      </c>
      <c r="D30" s="3"/>
      <c r="E30" s="8">
        <v>5</v>
      </c>
      <c r="F30" s="8">
        <v>5</v>
      </c>
      <c r="G30" s="8">
        <v>5</v>
      </c>
      <c r="H30" s="8">
        <v>5</v>
      </c>
      <c r="I30" s="5">
        <v>20</v>
      </c>
      <c r="J30" s="20">
        <f t="shared" si="0"/>
        <v>4</v>
      </c>
      <c r="K30" s="6">
        <v>22</v>
      </c>
      <c r="L30" s="8">
        <f t="shared" si="1"/>
        <v>4.4000000000000004</v>
      </c>
      <c r="M30" s="8"/>
      <c r="N30" s="22">
        <f t="shared" si="2"/>
        <v>28.4</v>
      </c>
      <c r="O30" s="1"/>
      <c r="P30" s="1"/>
      <c r="Q30" s="1"/>
      <c r="R30" s="1"/>
      <c r="S30" s="1"/>
      <c r="T30" s="1"/>
    </row>
    <row r="31" spans="1:20" x14ac:dyDescent="0.25">
      <c r="A31" s="19">
        <v>26</v>
      </c>
      <c r="B31" s="8">
        <v>24032485</v>
      </c>
      <c r="C31" s="9" t="s">
        <v>46</v>
      </c>
      <c r="D31" s="3"/>
      <c r="E31" s="8">
        <v>5</v>
      </c>
      <c r="F31" s="8">
        <v>5</v>
      </c>
      <c r="G31" s="8">
        <v>5</v>
      </c>
      <c r="H31" s="8">
        <v>5</v>
      </c>
      <c r="I31" s="5">
        <v>33</v>
      </c>
      <c r="J31" s="20">
        <f t="shared" si="0"/>
        <v>6.6</v>
      </c>
      <c r="K31" s="6">
        <v>15</v>
      </c>
      <c r="L31" s="8">
        <f t="shared" si="1"/>
        <v>3</v>
      </c>
      <c r="M31" s="8"/>
      <c r="N31" s="22">
        <f t="shared" si="2"/>
        <v>29.6</v>
      </c>
      <c r="O31" s="1"/>
      <c r="P31" s="1"/>
      <c r="Q31" s="1"/>
      <c r="R31" s="1"/>
      <c r="S31" s="1"/>
      <c r="T31" s="1"/>
    </row>
    <row r="32" spans="1:20" x14ac:dyDescent="0.25">
      <c r="A32" s="19">
        <v>27</v>
      </c>
      <c r="B32" s="26">
        <v>24032486</v>
      </c>
      <c r="C32" s="27" t="s">
        <v>47</v>
      </c>
      <c r="D32" s="3"/>
      <c r="E32" s="8">
        <v>5</v>
      </c>
      <c r="F32" s="8">
        <v>5</v>
      </c>
      <c r="G32" s="8">
        <v>5</v>
      </c>
      <c r="H32" s="8">
        <v>5</v>
      </c>
      <c r="I32" s="5">
        <v>40</v>
      </c>
      <c r="J32" s="20">
        <f t="shared" si="0"/>
        <v>8</v>
      </c>
      <c r="K32" s="5">
        <v>70</v>
      </c>
      <c r="L32" s="8">
        <f t="shared" si="1"/>
        <v>14</v>
      </c>
      <c r="M32" s="8"/>
      <c r="N32" s="22">
        <f t="shared" si="2"/>
        <v>42</v>
      </c>
      <c r="O32" s="1"/>
      <c r="P32" s="1"/>
      <c r="Q32" s="1"/>
      <c r="R32" s="1"/>
      <c r="S32" s="1"/>
      <c r="T32" s="1"/>
    </row>
    <row r="33" spans="1:20" x14ac:dyDescent="0.25">
      <c r="A33" s="19">
        <v>28</v>
      </c>
      <c r="B33" s="8">
        <v>24032487</v>
      </c>
      <c r="C33" s="9" t="s">
        <v>48</v>
      </c>
      <c r="D33" s="3"/>
      <c r="E33" s="8">
        <v>5</v>
      </c>
      <c r="F33" s="8">
        <v>5</v>
      </c>
      <c r="G33" s="8">
        <v>5</v>
      </c>
      <c r="H33" s="8">
        <v>5</v>
      </c>
      <c r="I33" s="5">
        <v>38</v>
      </c>
      <c r="J33" s="20">
        <f t="shared" si="0"/>
        <v>7.6</v>
      </c>
      <c r="K33" s="5">
        <v>65</v>
      </c>
      <c r="L33" s="8">
        <f t="shared" si="1"/>
        <v>13</v>
      </c>
      <c r="M33" s="8"/>
      <c r="N33" s="22">
        <f t="shared" si="2"/>
        <v>40.6</v>
      </c>
      <c r="O33" s="1"/>
      <c r="P33" s="1"/>
      <c r="Q33" s="1"/>
      <c r="R33" s="1"/>
      <c r="S33" s="1"/>
      <c r="T33" s="1"/>
    </row>
    <row r="34" spans="1:20" ht="15" hidden="1" customHeight="1" x14ac:dyDescent="0.25">
      <c r="A34" s="19">
        <v>29</v>
      </c>
      <c r="B34" s="7">
        <v>24032488</v>
      </c>
      <c r="C34" s="28" t="s">
        <v>49</v>
      </c>
      <c r="D34" s="3"/>
      <c r="E34" s="8">
        <v>5</v>
      </c>
      <c r="F34" s="8">
        <v>5</v>
      </c>
      <c r="G34" s="8">
        <v>5</v>
      </c>
      <c r="H34" s="8">
        <v>5</v>
      </c>
      <c r="I34" s="5">
        <v>43</v>
      </c>
      <c r="J34" s="20">
        <f t="shared" si="0"/>
        <v>8.6</v>
      </c>
      <c r="K34" s="5"/>
      <c r="L34" s="8">
        <f t="shared" si="1"/>
        <v>0</v>
      </c>
      <c r="M34" s="8"/>
      <c r="N34" s="22">
        <f t="shared" si="2"/>
        <v>28.6</v>
      </c>
      <c r="O34" s="1"/>
      <c r="P34" s="1"/>
      <c r="Q34" s="1"/>
      <c r="R34" s="1"/>
      <c r="S34" s="1"/>
      <c r="T34" s="1"/>
    </row>
    <row r="35" spans="1:20" ht="15" hidden="1" customHeight="1" x14ac:dyDescent="0.25">
      <c r="A35" s="19">
        <v>30</v>
      </c>
      <c r="B35" s="7">
        <v>24032489</v>
      </c>
      <c r="C35" s="28" t="s">
        <v>50</v>
      </c>
      <c r="D35" s="3"/>
      <c r="E35" s="8">
        <v>5</v>
      </c>
      <c r="F35" s="8">
        <v>5</v>
      </c>
      <c r="G35" s="8">
        <v>5</v>
      </c>
      <c r="H35" s="8">
        <v>5</v>
      </c>
      <c r="I35" s="5">
        <v>20</v>
      </c>
      <c r="J35" s="20">
        <f t="shared" si="0"/>
        <v>4</v>
      </c>
      <c r="K35" s="5"/>
      <c r="L35" s="8">
        <f t="shared" si="1"/>
        <v>0</v>
      </c>
      <c r="M35" s="8"/>
      <c r="N35" s="22">
        <f t="shared" si="2"/>
        <v>24</v>
      </c>
      <c r="O35" s="1"/>
      <c r="P35" s="1"/>
      <c r="Q35" s="1"/>
      <c r="R35" s="1"/>
      <c r="S35" s="1"/>
      <c r="T35" s="1"/>
    </row>
    <row r="36" spans="1:20" ht="15" hidden="1" customHeight="1" x14ac:dyDescent="0.25">
      <c r="A36" s="19">
        <v>31</v>
      </c>
      <c r="B36" s="7">
        <v>24032490</v>
      </c>
      <c r="C36" s="28" t="s">
        <v>51</v>
      </c>
      <c r="D36" s="3"/>
      <c r="E36" s="8">
        <v>5</v>
      </c>
      <c r="F36" s="8">
        <v>5</v>
      </c>
      <c r="G36" s="8">
        <v>5</v>
      </c>
      <c r="H36" s="8">
        <v>5</v>
      </c>
      <c r="I36" s="5">
        <v>24</v>
      </c>
      <c r="J36" s="20">
        <f t="shared" si="0"/>
        <v>4.8</v>
      </c>
      <c r="K36" s="6"/>
      <c r="L36" s="8">
        <f t="shared" si="1"/>
        <v>0</v>
      </c>
      <c r="M36" s="8"/>
      <c r="N36" s="22">
        <f t="shared" si="2"/>
        <v>24.8</v>
      </c>
      <c r="O36" s="1"/>
      <c r="P36" s="1"/>
      <c r="Q36" s="1"/>
      <c r="R36" s="1"/>
      <c r="S36" s="1"/>
      <c r="T36" s="1"/>
    </row>
    <row r="37" spans="1:20" ht="15" hidden="1" customHeight="1" x14ac:dyDescent="0.25">
      <c r="A37" s="19">
        <v>32</v>
      </c>
      <c r="B37" s="7">
        <v>24032491</v>
      </c>
      <c r="C37" s="28" t="s">
        <v>52</v>
      </c>
      <c r="D37" s="3"/>
      <c r="E37" s="8">
        <v>5</v>
      </c>
      <c r="F37" s="8">
        <v>5</v>
      </c>
      <c r="G37" s="8">
        <v>5</v>
      </c>
      <c r="H37" s="8">
        <v>5</v>
      </c>
      <c r="I37" s="5">
        <v>28</v>
      </c>
      <c r="J37" s="20">
        <f t="shared" si="0"/>
        <v>5.6</v>
      </c>
      <c r="K37" s="6"/>
      <c r="L37" s="8">
        <f t="shared" si="1"/>
        <v>0</v>
      </c>
      <c r="M37" s="8"/>
      <c r="N37" s="22">
        <f t="shared" si="2"/>
        <v>25.6</v>
      </c>
      <c r="O37" s="1"/>
      <c r="P37" s="1"/>
      <c r="Q37" s="1"/>
      <c r="R37" s="1"/>
      <c r="S37" s="1"/>
      <c r="T37" s="1"/>
    </row>
    <row r="38" spans="1:20" ht="15" hidden="1" customHeight="1" x14ac:dyDescent="0.25">
      <c r="A38" s="19">
        <v>33</v>
      </c>
      <c r="B38" s="7">
        <v>24032492</v>
      </c>
      <c r="C38" s="28" t="s">
        <v>53</v>
      </c>
      <c r="D38" s="3"/>
      <c r="E38" s="8">
        <v>5</v>
      </c>
      <c r="F38" s="8">
        <v>5</v>
      </c>
      <c r="G38" s="8">
        <v>5</v>
      </c>
      <c r="H38" s="8">
        <v>5</v>
      </c>
      <c r="I38" s="5">
        <v>44</v>
      </c>
      <c r="J38" s="20">
        <f t="shared" si="0"/>
        <v>8.8000000000000007</v>
      </c>
      <c r="K38" s="8"/>
      <c r="L38" s="8">
        <f t="shared" si="1"/>
        <v>0</v>
      </c>
      <c r="M38" s="8"/>
      <c r="N38" s="22">
        <f t="shared" si="2"/>
        <v>28.8</v>
      </c>
      <c r="O38" s="1"/>
      <c r="P38" s="1"/>
      <c r="Q38" s="1"/>
      <c r="R38" s="1"/>
      <c r="S38" s="1"/>
      <c r="T38" s="1"/>
    </row>
    <row r="39" spans="1:20" ht="15" hidden="1" customHeight="1" x14ac:dyDescent="0.25">
      <c r="A39" s="19">
        <v>34</v>
      </c>
      <c r="B39" s="7">
        <v>24032493</v>
      </c>
      <c r="C39" s="28" t="s">
        <v>54</v>
      </c>
      <c r="D39" s="3"/>
      <c r="E39" s="8">
        <v>5</v>
      </c>
      <c r="F39" s="8">
        <v>5</v>
      </c>
      <c r="G39" s="8">
        <v>5</v>
      </c>
      <c r="H39" s="8">
        <v>5</v>
      </c>
      <c r="I39" s="5">
        <v>20</v>
      </c>
      <c r="J39" s="20">
        <f t="shared" si="0"/>
        <v>4</v>
      </c>
      <c r="K39" s="8"/>
      <c r="L39" s="8">
        <f t="shared" si="1"/>
        <v>0</v>
      </c>
      <c r="M39" s="8"/>
      <c r="N39" s="22">
        <f t="shared" si="2"/>
        <v>24</v>
      </c>
      <c r="O39" s="1"/>
      <c r="P39" s="1"/>
      <c r="Q39" s="1"/>
      <c r="R39" s="1"/>
      <c r="S39" s="1"/>
      <c r="T39" s="1"/>
    </row>
    <row r="40" spans="1:20" ht="15" hidden="1" customHeight="1" x14ac:dyDescent="0.25">
      <c r="A40" s="19">
        <v>35</v>
      </c>
      <c r="B40" s="7">
        <v>24032494</v>
      </c>
      <c r="C40" s="28" t="s">
        <v>55</v>
      </c>
      <c r="D40" s="3"/>
      <c r="E40" s="8">
        <v>5</v>
      </c>
      <c r="F40" s="8">
        <v>5</v>
      </c>
      <c r="G40" s="8">
        <v>5</v>
      </c>
      <c r="H40" s="8">
        <v>5</v>
      </c>
      <c r="I40" s="8" t="s">
        <v>68</v>
      </c>
      <c r="J40" s="20" t="e">
        <f t="shared" si="0"/>
        <v>#VALUE!</v>
      </c>
      <c r="K40" s="8"/>
      <c r="L40" s="8">
        <f t="shared" si="1"/>
        <v>0</v>
      </c>
      <c r="M40" s="8"/>
      <c r="N40" s="22" t="e">
        <f t="shared" si="2"/>
        <v>#VALUE!</v>
      </c>
      <c r="O40" s="1"/>
      <c r="P40" s="1"/>
      <c r="Q40" s="1"/>
      <c r="R40" s="1"/>
      <c r="S40" s="1"/>
      <c r="T40" s="1"/>
    </row>
    <row r="41" spans="1:20" ht="15" hidden="1" customHeight="1" x14ac:dyDescent="0.25">
      <c r="A41" s="19">
        <v>36</v>
      </c>
      <c r="B41" s="7">
        <v>24032495</v>
      </c>
      <c r="C41" s="28" t="s">
        <v>56</v>
      </c>
      <c r="D41" s="3"/>
      <c r="E41" s="8">
        <v>5</v>
      </c>
      <c r="F41" s="8">
        <v>5</v>
      </c>
      <c r="G41" s="8">
        <v>5</v>
      </c>
      <c r="H41" s="8">
        <v>5</v>
      </c>
      <c r="I41" s="5">
        <v>21</v>
      </c>
      <c r="J41" s="20">
        <f t="shared" si="0"/>
        <v>4.2</v>
      </c>
      <c r="K41" s="8"/>
      <c r="L41" s="8">
        <f t="shared" si="1"/>
        <v>0</v>
      </c>
      <c r="M41" s="8"/>
      <c r="N41" s="22">
        <f t="shared" si="2"/>
        <v>24.2</v>
      </c>
      <c r="O41" s="1"/>
      <c r="P41" s="1"/>
      <c r="Q41" s="1"/>
      <c r="R41" s="1"/>
      <c r="S41" s="1"/>
      <c r="T41" s="1"/>
    </row>
    <row r="42" spans="1:20" ht="15" hidden="1" customHeight="1" x14ac:dyDescent="0.25">
      <c r="A42" s="19">
        <v>37</v>
      </c>
      <c r="B42" s="7">
        <v>24032496</v>
      </c>
      <c r="C42" s="28" t="s">
        <v>57</v>
      </c>
      <c r="D42" s="3"/>
      <c r="E42" s="8">
        <v>5</v>
      </c>
      <c r="F42" s="8">
        <v>5</v>
      </c>
      <c r="G42" s="8">
        <v>5</v>
      </c>
      <c r="H42" s="8">
        <v>5</v>
      </c>
      <c r="I42" s="5">
        <v>12</v>
      </c>
      <c r="J42" s="20">
        <f t="shared" si="0"/>
        <v>2.4</v>
      </c>
      <c r="K42" s="8"/>
      <c r="L42" s="8">
        <f t="shared" si="1"/>
        <v>0</v>
      </c>
      <c r="M42" s="8"/>
      <c r="N42" s="22">
        <f t="shared" si="2"/>
        <v>22.4</v>
      </c>
      <c r="O42" s="1"/>
      <c r="P42" s="1"/>
      <c r="Q42" s="1"/>
      <c r="R42" s="1"/>
      <c r="S42" s="1"/>
      <c r="T42" s="1"/>
    </row>
    <row r="43" spans="1:20" ht="15" hidden="1" customHeight="1" x14ac:dyDescent="0.25">
      <c r="A43" s="19">
        <v>38</v>
      </c>
      <c r="B43" s="7">
        <v>24032497</v>
      </c>
      <c r="C43" s="28" t="s">
        <v>58</v>
      </c>
      <c r="D43" s="3"/>
      <c r="E43" s="8">
        <v>5</v>
      </c>
      <c r="F43" s="8">
        <v>5</v>
      </c>
      <c r="G43" s="8">
        <v>5</v>
      </c>
      <c r="H43" s="8">
        <v>5</v>
      </c>
      <c r="I43" s="5">
        <v>20</v>
      </c>
      <c r="J43" s="20">
        <f t="shared" si="0"/>
        <v>4</v>
      </c>
      <c r="K43" s="8"/>
      <c r="L43" s="8">
        <f t="shared" si="1"/>
        <v>0</v>
      </c>
      <c r="M43" s="8"/>
      <c r="N43" s="22">
        <f t="shared" si="2"/>
        <v>24</v>
      </c>
      <c r="O43" s="1"/>
      <c r="P43" s="1"/>
      <c r="Q43" s="1"/>
      <c r="R43" s="1"/>
      <c r="S43" s="1"/>
      <c r="T43" s="1"/>
    </row>
    <row r="44" spans="1:20" ht="15" hidden="1" customHeight="1" x14ac:dyDescent="0.25">
      <c r="A44" s="19">
        <v>39</v>
      </c>
      <c r="B44" s="7">
        <v>24032498</v>
      </c>
      <c r="C44" s="28" t="s">
        <v>59</v>
      </c>
      <c r="D44" s="3"/>
      <c r="E44" s="8">
        <v>5</v>
      </c>
      <c r="F44" s="8">
        <v>5</v>
      </c>
      <c r="G44" s="8">
        <v>5</v>
      </c>
      <c r="H44" s="8">
        <v>5</v>
      </c>
      <c r="I44" s="5">
        <v>11</v>
      </c>
      <c r="J44" s="20">
        <f t="shared" si="0"/>
        <v>2.2000000000000002</v>
      </c>
      <c r="K44" s="8"/>
      <c r="L44" s="8">
        <f t="shared" si="1"/>
        <v>0</v>
      </c>
      <c r="M44" s="8"/>
      <c r="N44" s="22">
        <f t="shared" si="2"/>
        <v>22.2</v>
      </c>
      <c r="O44" s="1"/>
      <c r="P44" s="1"/>
      <c r="Q44" s="1"/>
      <c r="R44" s="1"/>
      <c r="S44" s="1"/>
      <c r="T44" s="1"/>
    </row>
    <row r="45" spans="1:20" ht="15" hidden="1" customHeight="1" x14ac:dyDescent="0.25">
      <c r="A45" s="19">
        <v>40</v>
      </c>
      <c r="B45" s="7">
        <v>24032499</v>
      </c>
      <c r="C45" s="28" t="s">
        <v>60</v>
      </c>
      <c r="D45" s="3"/>
      <c r="E45" s="8">
        <v>5</v>
      </c>
      <c r="F45" s="8">
        <v>5</v>
      </c>
      <c r="G45" s="8">
        <v>5</v>
      </c>
      <c r="H45" s="8">
        <v>5</v>
      </c>
      <c r="I45" s="8">
        <v>34</v>
      </c>
      <c r="J45" s="20">
        <f t="shared" si="0"/>
        <v>6.8</v>
      </c>
      <c r="K45" s="8"/>
      <c r="L45" s="8">
        <f t="shared" si="1"/>
        <v>0</v>
      </c>
      <c r="M45" s="8"/>
      <c r="N45" s="22">
        <f t="shared" si="2"/>
        <v>26.8</v>
      </c>
      <c r="O45" s="1"/>
      <c r="P45" s="1"/>
      <c r="Q45" s="1"/>
      <c r="R45" s="1"/>
      <c r="S45" s="1"/>
      <c r="T45" s="1"/>
    </row>
    <row r="46" spans="1:20" ht="15" hidden="1" customHeight="1" x14ac:dyDescent="0.25">
      <c r="A46" s="19">
        <v>41</v>
      </c>
      <c r="B46" s="7">
        <v>24032500</v>
      </c>
      <c r="C46" s="28" t="s">
        <v>61</v>
      </c>
      <c r="D46" s="3"/>
      <c r="E46" s="8">
        <v>5</v>
      </c>
      <c r="F46" s="8">
        <v>5</v>
      </c>
      <c r="G46" s="8">
        <v>5</v>
      </c>
      <c r="H46" s="8">
        <v>5</v>
      </c>
      <c r="I46" s="5">
        <v>21</v>
      </c>
      <c r="J46" s="20">
        <f t="shared" si="0"/>
        <v>4.2</v>
      </c>
      <c r="K46" s="8"/>
      <c r="L46" s="8">
        <f t="shared" si="1"/>
        <v>0</v>
      </c>
      <c r="M46" s="8"/>
      <c r="N46" s="22">
        <f t="shared" si="2"/>
        <v>24.2</v>
      </c>
      <c r="O46" s="1"/>
      <c r="P46" s="1"/>
      <c r="Q46" s="1"/>
      <c r="R46" s="1"/>
      <c r="S46" s="1"/>
      <c r="T46" s="1"/>
    </row>
    <row r="47" spans="1:20" ht="15" hidden="1" customHeight="1" x14ac:dyDescent="0.25">
      <c r="A47" s="19">
        <v>42</v>
      </c>
      <c r="B47" s="7">
        <v>24032501</v>
      </c>
      <c r="C47" s="28" t="s">
        <v>62</v>
      </c>
      <c r="D47" s="3"/>
      <c r="E47" s="8">
        <v>5</v>
      </c>
      <c r="F47" s="8">
        <v>5</v>
      </c>
      <c r="G47" s="8">
        <v>5</v>
      </c>
      <c r="H47" s="8">
        <v>5</v>
      </c>
      <c r="I47" s="5">
        <v>20</v>
      </c>
      <c r="J47" s="20">
        <f t="shared" si="0"/>
        <v>4</v>
      </c>
      <c r="K47" s="8"/>
      <c r="L47" s="8">
        <f t="shared" si="1"/>
        <v>0</v>
      </c>
      <c r="M47" s="8"/>
      <c r="N47" s="22">
        <f t="shared" si="2"/>
        <v>24</v>
      </c>
      <c r="O47" s="1"/>
      <c r="P47" s="1"/>
      <c r="Q47" s="1"/>
      <c r="R47" s="1"/>
      <c r="S47" s="1"/>
      <c r="T47" s="1"/>
    </row>
    <row r="48" spans="1:20" ht="15" hidden="1" customHeight="1" x14ac:dyDescent="0.25">
      <c r="A48" s="19">
        <v>43</v>
      </c>
      <c r="B48" s="7">
        <v>24032502</v>
      </c>
      <c r="C48" s="28" t="s">
        <v>63</v>
      </c>
      <c r="D48" s="3"/>
      <c r="E48" s="8">
        <v>5</v>
      </c>
      <c r="F48" s="8">
        <v>5</v>
      </c>
      <c r="G48" s="8">
        <v>5</v>
      </c>
      <c r="H48" s="8">
        <v>5</v>
      </c>
      <c r="I48" s="29">
        <v>26</v>
      </c>
      <c r="J48" s="20">
        <f t="shared" si="0"/>
        <v>5.2</v>
      </c>
      <c r="K48" s="8"/>
      <c r="L48" s="8">
        <f t="shared" si="1"/>
        <v>0</v>
      </c>
      <c r="M48" s="8"/>
      <c r="N48" s="22">
        <f t="shared" si="2"/>
        <v>25.2</v>
      </c>
      <c r="O48" s="1"/>
      <c r="P48" s="1"/>
      <c r="Q48" s="1"/>
      <c r="R48" s="1"/>
      <c r="S48" s="1"/>
      <c r="T48" s="1"/>
    </row>
    <row r="49" spans="1:20" ht="15" hidden="1" customHeight="1" x14ac:dyDescent="0.25">
      <c r="A49" s="19">
        <v>44</v>
      </c>
      <c r="B49" s="7">
        <v>24032504</v>
      </c>
      <c r="C49" s="28" t="s">
        <v>64</v>
      </c>
      <c r="D49" s="3"/>
      <c r="E49" s="8">
        <v>5</v>
      </c>
      <c r="F49" s="8">
        <v>5</v>
      </c>
      <c r="G49" s="8">
        <v>5</v>
      </c>
      <c r="H49" s="8">
        <v>5</v>
      </c>
      <c r="I49" s="3">
        <v>9</v>
      </c>
      <c r="J49" s="20">
        <f t="shared" si="0"/>
        <v>1.8</v>
      </c>
      <c r="K49" s="8"/>
      <c r="L49" s="8">
        <f t="shared" si="1"/>
        <v>0</v>
      </c>
      <c r="M49" s="8"/>
      <c r="N49" s="22">
        <f t="shared" si="2"/>
        <v>21.8</v>
      </c>
      <c r="O49" s="1"/>
      <c r="P49" s="1"/>
      <c r="Q49" s="1"/>
      <c r="R49" s="1"/>
      <c r="S49" s="1"/>
      <c r="T49" s="1"/>
    </row>
    <row r="50" spans="1:20" ht="15" hidden="1" customHeight="1" x14ac:dyDescent="0.25">
      <c r="A50" s="19">
        <v>45</v>
      </c>
      <c r="B50" s="7">
        <v>24032503</v>
      </c>
      <c r="C50" s="28" t="s">
        <v>65</v>
      </c>
      <c r="D50" s="3"/>
      <c r="E50" s="8">
        <v>5</v>
      </c>
      <c r="F50" s="8">
        <v>5</v>
      </c>
      <c r="G50" s="8">
        <v>5</v>
      </c>
      <c r="H50" s="8">
        <v>5</v>
      </c>
      <c r="I50" s="3" t="s">
        <v>68</v>
      </c>
      <c r="J50" s="20" t="e">
        <f t="shared" si="0"/>
        <v>#VALUE!</v>
      </c>
      <c r="K50" s="8"/>
      <c r="L50" s="8">
        <f t="shared" si="1"/>
        <v>0</v>
      </c>
      <c r="M50" s="8"/>
      <c r="N50" s="22" t="e">
        <f t="shared" si="2"/>
        <v>#VALUE!</v>
      </c>
      <c r="O50" s="1"/>
      <c r="P50" s="1"/>
      <c r="Q50" s="1"/>
      <c r="R50" s="1"/>
      <c r="S50" s="1"/>
      <c r="T50" s="1"/>
    </row>
    <row r="51" spans="1:20" hidden="1" x14ac:dyDescent="0.25">
      <c r="A51" s="19">
        <v>46</v>
      </c>
      <c r="B51" s="7"/>
      <c r="C51" s="28"/>
      <c r="D51" s="3"/>
      <c r="E51" s="8">
        <v>5</v>
      </c>
      <c r="F51" s="8">
        <v>5</v>
      </c>
      <c r="G51" s="8">
        <v>5</v>
      </c>
      <c r="H51" s="8">
        <v>5</v>
      </c>
      <c r="I51" s="3"/>
      <c r="J51" s="20">
        <f t="shared" si="0"/>
        <v>0</v>
      </c>
      <c r="K51" s="8"/>
      <c r="L51" s="8">
        <f t="shared" si="1"/>
        <v>0</v>
      </c>
      <c r="M51" s="8"/>
      <c r="N51" s="22">
        <f t="shared" si="2"/>
        <v>20</v>
      </c>
      <c r="O51" s="1"/>
      <c r="P51" s="1"/>
      <c r="Q51" s="1"/>
      <c r="R51" s="1"/>
      <c r="S51" s="1"/>
      <c r="T51" s="1"/>
    </row>
    <row r="52" spans="1:20" hidden="1" x14ac:dyDescent="0.25">
      <c r="A52" s="19">
        <v>47</v>
      </c>
      <c r="B52" s="7"/>
      <c r="C52" s="28"/>
      <c r="D52" s="3"/>
      <c r="E52" s="8">
        <v>5</v>
      </c>
      <c r="F52" s="8">
        <v>5</v>
      </c>
      <c r="G52" s="8">
        <v>5</v>
      </c>
      <c r="H52" s="8">
        <v>5</v>
      </c>
      <c r="I52" s="3"/>
      <c r="J52" s="20">
        <f t="shared" si="0"/>
        <v>0</v>
      </c>
      <c r="K52" s="8"/>
      <c r="L52" s="8">
        <f t="shared" si="1"/>
        <v>0</v>
      </c>
      <c r="M52" s="8"/>
      <c r="N52" s="22">
        <f t="shared" si="2"/>
        <v>20</v>
      </c>
      <c r="O52" s="1"/>
      <c r="P52" s="1"/>
      <c r="Q52" s="1"/>
      <c r="R52" s="1"/>
      <c r="S52" s="1"/>
      <c r="T52" s="1"/>
    </row>
    <row r="53" spans="1:20" hidden="1" x14ac:dyDescent="0.25">
      <c r="A53" s="19">
        <v>48</v>
      </c>
      <c r="B53" s="7"/>
      <c r="C53" s="28"/>
      <c r="D53" s="3"/>
      <c r="E53" s="8">
        <v>5</v>
      </c>
      <c r="F53" s="8">
        <v>5</v>
      </c>
      <c r="G53" s="8">
        <v>5</v>
      </c>
      <c r="H53" s="8">
        <v>5</v>
      </c>
      <c r="I53" s="3"/>
      <c r="J53" s="20">
        <f t="shared" si="0"/>
        <v>0</v>
      </c>
      <c r="K53" s="8"/>
      <c r="L53" s="8">
        <f t="shared" si="1"/>
        <v>0</v>
      </c>
      <c r="M53" s="8"/>
      <c r="N53" s="22">
        <f t="shared" si="2"/>
        <v>20</v>
      </c>
      <c r="O53" s="1"/>
      <c r="P53" s="1"/>
      <c r="Q53" s="1"/>
      <c r="R53" s="1"/>
      <c r="S53" s="1"/>
      <c r="T53" s="1"/>
    </row>
    <row r="54" spans="1:20" hidden="1" x14ac:dyDescent="0.25">
      <c r="A54" s="19">
        <v>49</v>
      </c>
      <c r="B54" s="7"/>
      <c r="C54" s="28"/>
      <c r="D54" s="3"/>
      <c r="E54" s="8">
        <v>5</v>
      </c>
      <c r="F54" s="8">
        <v>5</v>
      </c>
      <c r="G54" s="8">
        <v>5</v>
      </c>
      <c r="H54" s="8">
        <v>5</v>
      </c>
      <c r="I54" s="29"/>
      <c r="J54" s="20">
        <f t="shared" si="0"/>
        <v>0</v>
      </c>
      <c r="K54" s="8"/>
      <c r="L54" s="8">
        <f t="shared" si="1"/>
        <v>0</v>
      </c>
      <c r="M54" s="8"/>
      <c r="N54" s="22">
        <f t="shared" si="2"/>
        <v>20</v>
      </c>
      <c r="O54" s="1"/>
      <c r="P54" s="1"/>
      <c r="Q54" s="1"/>
      <c r="R54" s="1"/>
      <c r="S54" s="1"/>
      <c r="T54" s="1"/>
    </row>
    <row r="55" spans="1:20" hidden="1" x14ac:dyDescent="0.25">
      <c r="A55" s="19">
        <v>50</v>
      </c>
      <c r="B55" s="7"/>
      <c r="C55" s="28"/>
      <c r="D55" s="3"/>
      <c r="E55" s="8">
        <v>5</v>
      </c>
      <c r="F55" s="8">
        <v>5</v>
      </c>
      <c r="G55" s="8">
        <v>5</v>
      </c>
      <c r="H55" s="8">
        <v>5</v>
      </c>
      <c r="I55" s="29"/>
      <c r="J55" s="20">
        <f t="shared" si="0"/>
        <v>0</v>
      </c>
      <c r="K55" s="8"/>
      <c r="L55" s="8">
        <f t="shared" si="1"/>
        <v>0</v>
      </c>
      <c r="M55" s="8"/>
      <c r="N55" s="22">
        <f t="shared" si="2"/>
        <v>20</v>
      </c>
      <c r="O55" s="1"/>
      <c r="P55" s="1"/>
      <c r="Q55" s="1"/>
      <c r="R55" s="1"/>
      <c r="S55" s="1"/>
      <c r="T55" s="1"/>
    </row>
    <row r="56" spans="1:20" hidden="1" x14ac:dyDescent="0.25">
      <c r="A56" s="19">
        <v>51</v>
      </c>
      <c r="B56" s="7"/>
      <c r="C56" s="28"/>
      <c r="D56" s="3"/>
      <c r="E56" s="8">
        <v>5</v>
      </c>
      <c r="F56" s="8">
        <v>5</v>
      </c>
      <c r="G56" s="8">
        <v>5</v>
      </c>
      <c r="H56" s="8">
        <v>5</v>
      </c>
      <c r="I56" s="29"/>
      <c r="J56" s="20">
        <f t="shared" si="0"/>
        <v>0</v>
      </c>
      <c r="K56" s="8"/>
      <c r="L56" s="8">
        <f t="shared" si="1"/>
        <v>0</v>
      </c>
      <c r="M56" s="8"/>
      <c r="N56" s="22">
        <f t="shared" si="2"/>
        <v>20</v>
      </c>
      <c r="O56" s="1"/>
      <c r="P56" s="1"/>
      <c r="Q56" s="1"/>
      <c r="R56" s="1"/>
      <c r="S56" s="1"/>
      <c r="T56" s="1"/>
    </row>
    <row r="57" spans="1:20" hidden="1" x14ac:dyDescent="0.25">
      <c r="A57" s="19">
        <v>52</v>
      </c>
      <c r="B57" s="7"/>
      <c r="C57" s="28"/>
      <c r="D57" s="3"/>
      <c r="E57" s="8">
        <v>5</v>
      </c>
      <c r="F57" s="8">
        <v>5</v>
      </c>
      <c r="G57" s="8">
        <v>5</v>
      </c>
      <c r="H57" s="8">
        <v>5</v>
      </c>
      <c r="I57" s="29"/>
      <c r="J57" s="20">
        <f t="shared" si="0"/>
        <v>0</v>
      </c>
      <c r="K57" s="8"/>
      <c r="L57" s="8">
        <f t="shared" si="1"/>
        <v>0</v>
      </c>
      <c r="M57" s="8"/>
      <c r="N57" s="22">
        <f t="shared" si="2"/>
        <v>20</v>
      </c>
      <c r="O57" s="1"/>
      <c r="P57" s="1"/>
      <c r="Q57" s="1"/>
      <c r="R57" s="1"/>
      <c r="S57" s="1"/>
      <c r="T57" s="1"/>
    </row>
    <row r="58" spans="1:20" x14ac:dyDescent="0.25">
      <c r="A58" s="19">
        <v>29</v>
      </c>
      <c r="B58" s="9">
        <v>24032488</v>
      </c>
      <c r="C58" s="9" t="s">
        <v>49</v>
      </c>
      <c r="D58" s="9"/>
      <c r="E58" s="8">
        <v>5</v>
      </c>
      <c r="F58" s="8">
        <v>5</v>
      </c>
      <c r="G58" s="8">
        <v>5</v>
      </c>
      <c r="H58" s="8">
        <v>5</v>
      </c>
      <c r="I58" s="8">
        <v>43</v>
      </c>
      <c r="J58" s="20">
        <f t="shared" si="0"/>
        <v>8.6</v>
      </c>
      <c r="K58" s="8">
        <v>71</v>
      </c>
      <c r="L58" s="8">
        <f t="shared" si="1"/>
        <v>14.2</v>
      </c>
      <c r="M58" s="9"/>
      <c r="N58" s="22">
        <f t="shared" si="2"/>
        <v>42.8</v>
      </c>
      <c r="O58" s="1"/>
      <c r="P58" s="1"/>
      <c r="Q58" s="1"/>
      <c r="R58" s="1"/>
      <c r="S58" s="1"/>
      <c r="T58" s="1"/>
    </row>
    <row r="59" spans="1:20" x14ac:dyDescent="0.25">
      <c r="A59" s="19">
        <v>30</v>
      </c>
      <c r="B59" s="9">
        <v>24032489</v>
      </c>
      <c r="C59" s="9" t="s">
        <v>50</v>
      </c>
      <c r="D59" s="9"/>
      <c r="E59" s="8">
        <v>5</v>
      </c>
      <c r="F59" s="8">
        <v>5</v>
      </c>
      <c r="G59" s="8">
        <v>5</v>
      </c>
      <c r="H59" s="8">
        <v>5</v>
      </c>
      <c r="I59" s="8">
        <v>20</v>
      </c>
      <c r="J59" s="20">
        <f t="shared" si="0"/>
        <v>4</v>
      </c>
      <c r="K59" s="8">
        <v>30</v>
      </c>
      <c r="L59" s="8">
        <f t="shared" si="1"/>
        <v>6</v>
      </c>
      <c r="M59" s="9"/>
      <c r="N59" s="22">
        <f t="shared" si="2"/>
        <v>30</v>
      </c>
      <c r="O59" s="1"/>
      <c r="P59" s="1"/>
      <c r="Q59" s="1"/>
      <c r="R59" s="1"/>
      <c r="S59" s="1"/>
      <c r="T59" s="1"/>
    </row>
    <row r="60" spans="1:20" x14ac:dyDescent="0.25">
      <c r="A60" s="19">
        <v>31</v>
      </c>
      <c r="B60" s="9">
        <v>24032490</v>
      </c>
      <c r="C60" s="9" t="s">
        <v>51</v>
      </c>
      <c r="D60" s="9"/>
      <c r="E60" s="8">
        <v>5</v>
      </c>
      <c r="F60" s="8">
        <v>5</v>
      </c>
      <c r="G60" s="8">
        <v>5</v>
      </c>
      <c r="H60" s="8">
        <v>5</v>
      </c>
      <c r="I60" s="8">
        <v>24</v>
      </c>
      <c r="J60" s="20">
        <f t="shared" si="0"/>
        <v>4.8</v>
      </c>
      <c r="K60" s="8">
        <v>25</v>
      </c>
      <c r="L60" s="8">
        <f t="shared" si="1"/>
        <v>5</v>
      </c>
      <c r="M60" s="30"/>
      <c r="N60" s="22">
        <f t="shared" si="2"/>
        <v>29.8</v>
      </c>
      <c r="O60" s="1"/>
      <c r="P60" s="1"/>
      <c r="Q60" s="1"/>
      <c r="R60" s="1"/>
      <c r="S60" s="1"/>
      <c r="T60" s="1"/>
    </row>
    <row r="61" spans="1:20" x14ac:dyDescent="0.25">
      <c r="A61" s="19">
        <v>32</v>
      </c>
      <c r="B61" s="9">
        <v>24032491</v>
      </c>
      <c r="C61" s="9" t="s">
        <v>52</v>
      </c>
      <c r="D61" s="9"/>
      <c r="E61" s="8">
        <v>5</v>
      </c>
      <c r="F61" s="8">
        <v>5</v>
      </c>
      <c r="G61" s="8">
        <v>5</v>
      </c>
      <c r="H61" s="8">
        <v>5</v>
      </c>
      <c r="I61" s="8">
        <v>28</v>
      </c>
      <c r="J61" s="20">
        <f t="shared" si="0"/>
        <v>5.6</v>
      </c>
      <c r="K61" s="8">
        <v>45</v>
      </c>
      <c r="L61" s="8">
        <f t="shared" si="1"/>
        <v>9</v>
      </c>
      <c r="M61" s="30"/>
      <c r="N61" s="22">
        <f t="shared" si="2"/>
        <v>34.6</v>
      </c>
      <c r="O61" s="1"/>
      <c r="P61" s="1"/>
      <c r="Q61" s="1"/>
      <c r="R61" s="1"/>
      <c r="S61" s="1"/>
      <c r="T61" s="1"/>
    </row>
    <row r="62" spans="1:20" x14ac:dyDescent="0.25">
      <c r="A62" s="19">
        <v>33</v>
      </c>
      <c r="B62" s="9">
        <v>24032492</v>
      </c>
      <c r="C62" s="9" t="s">
        <v>53</v>
      </c>
      <c r="D62" s="9"/>
      <c r="E62" s="8">
        <v>5</v>
      </c>
      <c r="F62" s="8">
        <v>5</v>
      </c>
      <c r="G62" s="8">
        <v>5</v>
      </c>
      <c r="H62" s="8">
        <v>5</v>
      </c>
      <c r="I62" s="8">
        <v>44</v>
      </c>
      <c r="J62" s="20">
        <f t="shared" si="0"/>
        <v>8.8000000000000007</v>
      </c>
      <c r="K62" s="8">
        <v>85</v>
      </c>
      <c r="L62" s="8">
        <f t="shared" si="1"/>
        <v>17</v>
      </c>
      <c r="M62" s="9"/>
      <c r="N62" s="22">
        <f t="shared" si="2"/>
        <v>45.8</v>
      </c>
      <c r="O62" s="1"/>
      <c r="P62" s="1"/>
      <c r="Q62" s="1"/>
      <c r="R62" s="1"/>
      <c r="S62" s="1"/>
      <c r="T62" s="1"/>
    </row>
    <row r="63" spans="1:20" x14ac:dyDescent="0.25">
      <c r="A63" s="19">
        <v>34</v>
      </c>
      <c r="B63" s="9">
        <v>24032493</v>
      </c>
      <c r="C63" s="9" t="s">
        <v>54</v>
      </c>
      <c r="D63" s="9"/>
      <c r="E63" s="8">
        <v>5</v>
      </c>
      <c r="F63" s="8">
        <v>5</v>
      </c>
      <c r="G63" s="8">
        <v>5</v>
      </c>
      <c r="H63" s="8">
        <v>5</v>
      </c>
      <c r="I63" s="8">
        <v>20</v>
      </c>
      <c r="J63" s="20">
        <f t="shared" si="0"/>
        <v>4</v>
      </c>
      <c r="K63" s="8">
        <v>22</v>
      </c>
      <c r="L63" s="8">
        <f t="shared" si="1"/>
        <v>4.4000000000000004</v>
      </c>
      <c r="M63" s="9"/>
      <c r="N63" s="22">
        <f t="shared" si="2"/>
        <v>28.4</v>
      </c>
      <c r="O63" s="1"/>
      <c r="P63" s="1"/>
      <c r="Q63" s="1"/>
      <c r="R63" s="1"/>
      <c r="S63" s="1"/>
      <c r="T63" s="1"/>
    </row>
    <row r="64" spans="1:20" x14ac:dyDescent="0.25">
      <c r="A64" s="19">
        <v>35</v>
      </c>
      <c r="B64" s="9">
        <v>24032494</v>
      </c>
      <c r="C64" s="9" t="s">
        <v>55</v>
      </c>
      <c r="D64" s="9"/>
      <c r="E64" s="8">
        <v>5</v>
      </c>
      <c r="F64" s="8">
        <v>5</v>
      </c>
      <c r="G64" s="8">
        <v>5</v>
      </c>
      <c r="H64" s="8">
        <v>5</v>
      </c>
      <c r="I64" s="8" t="s">
        <v>68</v>
      </c>
      <c r="J64" s="20" t="e">
        <f t="shared" si="0"/>
        <v>#VALUE!</v>
      </c>
      <c r="K64" s="8" t="s">
        <v>68</v>
      </c>
      <c r="L64" s="8" t="e">
        <f t="shared" si="1"/>
        <v>#VALUE!</v>
      </c>
      <c r="M64" s="9"/>
      <c r="N64" s="22" t="e">
        <f t="shared" si="2"/>
        <v>#VALUE!</v>
      </c>
      <c r="O64" s="1"/>
      <c r="P64" s="1"/>
      <c r="Q64" s="1"/>
      <c r="R64" s="1"/>
      <c r="S64" s="1"/>
      <c r="T64" s="1"/>
    </row>
    <row r="65" spans="1:20" x14ac:dyDescent="0.25">
      <c r="A65" s="19">
        <v>36</v>
      </c>
      <c r="B65" s="9">
        <v>24032495</v>
      </c>
      <c r="C65" s="9" t="s">
        <v>56</v>
      </c>
      <c r="D65" s="9"/>
      <c r="E65" s="8">
        <v>5</v>
      </c>
      <c r="F65" s="8">
        <v>5</v>
      </c>
      <c r="G65" s="8">
        <v>5</v>
      </c>
      <c r="H65" s="8">
        <v>5</v>
      </c>
      <c r="I65" s="8">
        <v>21</v>
      </c>
      <c r="J65" s="20">
        <f t="shared" si="0"/>
        <v>4.2</v>
      </c>
      <c r="K65" s="8">
        <v>5</v>
      </c>
      <c r="L65" s="8">
        <f t="shared" si="1"/>
        <v>1</v>
      </c>
      <c r="M65" s="9"/>
      <c r="N65" s="22">
        <f t="shared" si="2"/>
        <v>25.2</v>
      </c>
      <c r="O65" s="1"/>
      <c r="P65" s="1"/>
      <c r="Q65" s="1"/>
      <c r="R65" s="1"/>
      <c r="S65" s="1"/>
      <c r="T65" s="1"/>
    </row>
    <row r="66" spans="1:20" x14ac:dyDescent="0.25">
      <c r="A66" s="19">
        <v>37</v>
      </c>
      <c r="B66" s="9">
        <v>24032496</v>
      </c>
      <c r="C66" s="9" t="s">
        <v>57</v>
      </c>
      <c r="D66" s="9"/>
      <c r="E66" s="8">
        <v>5</v>
      </c>
      <c r="F66" s="8">
        <v>5</v>
      </c>
      <c r="G66" s="8">
        <v>5</v>
      </c>
      <c r="H66" s="8">
        <v>5</v>
      </c>
      <c r="I66" s="8">
        <v>12</v>
      </c>
      <c r="J66" s="20">
        <f t="shared" si="0"/>
        <v>2.4</v>
      </c>
      <c r="K66" s="8">
        <v>7</v>
      </c>
      <c r="L66" s="8">
        <f t="shared" si="1"/>
        <v>1.4</v>
      </c>
      <c r="M66" s="9"/>
      <c r="N66" s="22">
        <f t="shared" si="2"/>
        <v>23.799999999999997</v>
      </c>
      <c r="O66" s="1"/>
      <c r="P66" s="1"/>
      <c r="Q66" s="1"/>
      <c r="R66" s="1"/>
      <c r="S66" s="1"/>
      <c r="T66" s="1"/>
    </row>
    <row r="67" spans="1:20" x14ac:dyDescent="0.25">
      <c r="A67" s="19">
        <v>38</v>
      </c>
      <c r="B67" s="9">
        <v>24032497</v>
      </c>
      <c r="C67" s="9" t="s">
        <v>58</v>
      </c>
      <c r="D67" s="9"/>
      <c r="E67" s="8">
        <v>5</v>
      </c>
      <c r="F67" s="8">
        <v>5</v>
      </c>
      <c r="G67" s="8">
        <v>5</v>
      </c>
      <c r="H67" s="8">
        <v>5</v>
      </c>
      <c r="I67" s="8">
        <v>20</v>
      </c>
      <c r="J67" s="20">
        <f t="shared" si="0"/>
        <v>4</v>
      </c>
      <c r="K67" s="8">
        <v>55</v>
      </c>
      <c r="L67" s="8">
        <f t="shared" si="1"/>
        <v>11</v>
      </c>
      <c r="M67" s="9"/>
      <c r="N67" s="22">
        <f t="shared" si="2"/>
        <v>35</v>
      </c>
      <c r="O67" s="1"/>
      <c r="P67" s="1"/>
      <c r="Q67" s="1"/>
      <c r="R67" s="1"/>
      <c r="S67" s="1"/>
      <c r="T67" s="1"/>
    </row>
    <row r="68" spans="1:20" x14ac:dyDescent="0.25">
      <c r="A68" s="19">
        <v>39</v>
      </c>
      <c r="B68" s="9">
        <v>24032498</v>
      </c>
      <c r="C68" s="9" t="s">
        <v>59</v>
      </c>
      <c r="D68" s="9"/>
      <c r="E68" s="8">
        <v>5</v>
      </c>
      <c r="F68" s="8">
        <v>5</v>
      </c>
      <c r="G68" s="8">
        <v>5</v>
      </c>
      <c r="H68" s="8">
        <v>5</v>
      </c>
      <c r="I68" s="8">
        <v>11</v>
      </c>
      <c r="J68" s="20">
        <f t="shared" si="0"/>
        <v>2.2000000000000002</v>
      </c>
      <c r="K68" s="8">
        <v>12</v>
      </c>
      <c r="L68" s="8">
        <f t="shared" si="1"/>
        <v>2.4</v>
      </c>
      <c r="M68" s="9"/>
      <c r="N68" s="22">
        <f t="shared" si="2"/>
        <v>24.599999999999998</v>
      </c>
      <c r="O68" s="1"/>
      <c r="P68" s="1"/>
      <c r="Q68" s="1"/>
      <c r="R68" s="1"/>
      <c r="S68" s="1"/>
      <c r="T68" s="1"/>
    </row>
    <row r="69" spans="1:20" x14ac:dyDescent="0.25">
      <c r="A69" s="19">
        <v>40</v>
      </c>
      <c r="B69" s="9">
        <v>24032499</v>
      </c>
      <c r="C69" s="9" t="s">
        <v>60</v>
      </c>
      <c r="D69" s="9"/>
      <c r="E69" s="8">
        <v>5</v>
      </c>
      <c r="F69" s="8">
        <v>5</v>
      </c>
      <c r="G69" s="8">
        <v>5</v>
      </c>
      <c r="H69" s="8">
        <v>5</v>
      </c>
      <c r="I69" s="8">
        <v>34</v>
      </c>
      <c r="J69" s="20">
        <f t="shared" si="0"/>
        <v>6.8</v>
      </c>
      <c r="K69" s="8">
        <v>78</v>
      </c>
      <c r="L69" s="8">
        <f t="shared" si="1"/>
        <v>15.6</v>
      </c>
      <c r="M69" s="9"/>
      <c r="N69" s="22">
        <f t="shared" si="2"/>
        <v>42.4</v>
      </c>
      <c r="O69" s="1"/>
      <c r="P69" s="1"/>
      <c r="Q69" s="1"/>
      <c r="R69" s="1"/>
      <c r="S69" s="1"/>
      <c r="T69" s="1"/>
    </row>
    <row r="70" spans="1:20" x14ac:dyDescent="0.25">
      <c r="A70" s="19">
        <v>41</v>
      </c>
      <c r="B70" s="9">
        <v>24032500</v>
      </c>
      <c r="C70" s="9" t="s">
        <v>61</v>
      </c>
      <c r="D70" s="9"/>
      <c r="E70" s="8">
        <v>5</v>
      </c>
      <c r="F70" s="8">
        <v>5</v>
      </c>
      <c r="G70" s="8">
        <v>5</v>
      </c>
      <c r="H70" s="8">
        <v>5</v>
      </c>
      <c r="I70" s="8">
        <v>21</v>
      </c>
      <c r="J70" s="20">
        <f t="shared" si="0"/>
        <v>4.2</v>
      </c>
      <c r="K70" s="8">
        <v>72</v>
      </c>
      <c r="L70" s="8">
        <f t="shared" si="1"/>
        <v>14.4</v>
      </c>
      <c r="M70" s="9"/>
      <c r="N70" s="22">
        <f t="shared" si="2"/>
        <v>38.6</v>
      </c>
      <c r="O70" s="1"/>
      <c r="P70" s="1"/>
      <c r="Q70" s="1"/>
      <c r="R70" s="1"/>
      <c r="S70" s="1"/>
      <c r="T70" s="1"/>
    </row>
    <row r="71" spans="1:20" x14ac:dyDescent="0.25">
      <c r="A71" s="19">
        <v>42</v>
      </c>
      <c r="B71" s="9">
        <v>24032501</v>
      </c>
      <c r="C71" s="9" t="s">
        <v>62</v>
      </c>
      <c r="D71" s="9"/>
      <c r="E71" s="8">
        <v>5</v>
      </c>
      <c r="F71" s="8">
        <v>5</v>
      </c>
      <c r="G71" s="8">
        <v>5</v>
      </c>
      <c r="H71" s="8">
        <v>5</v>
      </c>
      <c r="I71" s="8">
        <v>20</v>
      </c>
      <c r="J71" s="20">
        <f t="shared" ref="J71:J74" si="3">I71/5</f>
        <v>4</v>
      </c>
      <c r="K71" s="8">
        <v>65</v>
      </c>
      <c r="L71" s="8">
        <f t="shared" ref="L71:L74" si="4">K71/5</f>
        <v>13</v>
      </c>
      <c r="M71" s="9"/>
      <c r="N71" s="22">
        <f t="shared" ref="N71:N74" si="5">E71+F71+G71+H71+J71+L71+M71</f>
        <v>37</v>
      </c>
      <c r="O71" s="1"/>
      <c r="P71" s="1"/>
      <c r="Q71" s="1"/>
      <c r="R71" s="1"/>
      <c r="S71" s="1"/>
      <c r="T71" s="1"/>
    </row>
    <row r="72" spans="1:20" x14ac:dyDescent="0.25">
      <c r="A72" s="19">
        <v>43</v>
      </c>
      <c r="B72" s="9">
        <v>24032502</v>
      </c>
      <c r="C72" s="9" t="s">
        <v>63</v>
      </c>
      <c r="D72" s="9"/>
      <c r="E72" s="8">
        <v>5</v>
      </c>
      <c r="F72" s="8">
        <v>5</v>
      </c>
      <c r="G72" s="8">
        <v>5</v>
      </c>
      <c r="H72" s="8">
        <v>5</v>
      </c>
      <c r="I72" s="8">
        <v>25</v>
      </c>
      <c r="J72" s="20">
        <f t="shared" si="3"/>
        <v>5</v>
      </c>
      <c r="K72" s="8">
        <v>61</v>
      </c>
      <c r="L72" s="8">
        <f t="shared" si="4"/>
        <v>12.2</v>
      </c>
      <c r="M72" s="9"/>
      <c r="N72" s="22">
        <f t="shared" si="5"/>
        <v>37.200000000000003</v>
      </c>
      <c r="O72" s="1"/>
      <c r="P72" s="1"/>
      <c r="Q72" s="1"/>
      <c r="R72" s="1"/>
      <c r="S72" s="1"/>
      <c r="T72" s="1"/>
    </row>
    <row r="73" spans="1:20" ht="15.75" customHeight="1" x14ac:dyDescent="0.25">
      <c r="A73" s="19">
        <v>44</v>
      </c>
      <c r="B73" s="9">
        <v>24032503</v>
      </c>
      <c r="C73" s="9" t="s">
        <v>65</v>
      </c>
      <c r="D73" s="9"/>
      <c r="E73" s="8">
        <v>5</v>
      </c>
      <c r="F73" s="8">
        <v>5</v>
      </c>
      <c r="G73" s="8">
        <v>5</v>
      </c>
      <c r="H73" s="8">
        <v>5</v>
      </c>
      <c r="I73" s="8" t="s">
        <v>68</v>
      </c>
      <c r="J73" s="20" t="e">
        <f t="shared" si="3"/>
        <v>#VALUE!</v>
      </c>
      <c r="K73" s="8" t="s">
        <v>68</v>
      </c>
      <c r="L73" s="8" t="e">
        <f t="shared" si="4"/>
        <v>#VALUE!</v>
      </c>
      <c r="M73" s="9"/>
      <c r="N73" s="22" t="e">
        <f t="shared" si="5"/>
        <v>#VALUE!</v>
      </c>
      <c r="O73" s="1"/>
      <c r="P73" s="1"/>
      <c r="Q73" s="1"/>
      <c r="R73" s="1"/>
      <c r="S73" s="1"/>
      <c r="T73" s="1"/>
    </row>
    <row r="74" spans="1:20" x14ac:dyDescent="0.25">
      <c r="A74" s="19">
        <v>45</v>
      </c>
      <c r="B74" s="9">
        <v>24032504</v>
      </c>
      <c r="C74" s="9" t="s">
        <v>64</v>
      </c>
      <c r="D74" s="9"/>
      <c r="E74" s="8">
        <v>5</v>
      </c>
      <c r="F74" s="8">
        <v>5</v>
      </c>
      <c r="G74" s="8">
        <v>5</v>
      </c>
      <c r="H74" s="8">
        <v>5</v>
      </c>
      <c r="I74" s="8">
        <v>9</v>
      </c>
      <c r="J74" s="20">
        <f t="shared" si="3"/>
        <v>1.8</v>
      </c>
      <c r="K74" s="8">
        <v>8</v>
      </c>
      <c r="L74" s="8">
        <f t="shared" si="4"/>
        <v>1.6</v>
      </c>
      <c r="M74" s="9"/>
      <c r="N74" s="22">
        <f t="shared" si="5"/>
        <v>23.400000000000002</v>
      </c>
      <c r="O74" s="1"/>
      <c r="P74" s="1"/>
      <c r="Q74" s="1"/>
      <c r="R74" s="1"/>
      <c r="S74" s="1"/>
      <c r="T74" s="1"/>
    </row>
    <row r="75" spans="1:20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1"/>
      <c r="M75" s="11"/>
      <c r="N75" s="1"/>
      <c r="O75" s="1"/>
      <c r="P75" s="1"/>
      <c r="Q75" s="1"/>
      <c r="R75" s="1"/>
      <c r="S75" s="1"/>
      <c r="T75" s="1"/>
    </row>
    <row r="76" spans="1:20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1"/>
      <c r="M76" s="11"/>
      <c r="N76" s="1"/>
      <c r="O76" s="1"/>
      <c r="P76" s="1"/>
      <c r="Q76" s="1"/>
      <c r="R76" s="1"/>
      <c r="S76" s="1"/>
      <c r="T76" s="1"/>
    </row>
    <row r="77" spans="1:20" x14ac:dyDescent="0.25">
      <c r="A77" s="1"/>
      <c r="B77" s="1"/>
      <c r="C77" s="1"/>
      <c r="D77" s="1"/>
      <c r="E77" s="1"/>
      <c r="F77" s="1"/>
      <c r="G77" s="1"/>
      <c r="H77" s="1"/>
      <c r="I77" s="1"/>
      <c r="J77" s="42" t="s">
        <v>16</v>
      </c>
      <c r="K77" s="42"/>
      <c r="L77" s="11"/>
      <c r="M77" s="11"/>
      <c r="N77" s="1"/>
      <c r="O77" s="1"/>
      <c r="P77" s="1"/>
      <c r="Q77" s="1"/>
      <c r="R77" s="1"/>
      <c r="S77" s="1"/>
      <c r="T77" s="1"/>
    </row>
    <row r="78" spans="1:20" x14ac:dyDescent="0.25">
      <c r="A78" s="1"/>
      <c r="B78" s="1"/>
      <c r="C78" s="1"/>
      <c r="D78" s="1"/>
      <c r="E78" s="1"/>
      <c r="F78" s="1"/>
      <c r="G78" s="1"/>
      <c r="H78" s="1"/>
      <c r="I78" s="1"/>
      <c r="J78" s="42" t="s">
        <v>17</v>
      </c>
      <c r="K78" s="42"/>
      <c r="L78" s="11"/>
      <c r="M78" s="11"/>
      <c r="N78" s="1"/>
      <c r="O78" s="1"/>
      <c r="P78" s="1"/>
      <c r="Q78" s="1"/>
      <c r="R78" s="1"/>
      <c r="S78" s="1"/>
      <c r="T78" s="1"/>
    </row>
    <row r="79" spans="1:20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1"/>
      <c r="M79" s="11"/>
      <c r="N79" s="1"/>
      <c r="O79" s="1"/>
      <c r="P79" s="1"/>
      <c r="Q79" s="1"/>
      <c r="R79" s="1"/>
      <c r="S79" s="1"/>
      <c r="T79" s="1"/>
    </row>
    <row r="80" spans="1:20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1"/>
      <c r="M80" s="11"/>
      <c r="N80" s="1"/>
      <c r="O80" s="1"/>
      <c r="P80" s="1"/>
      <c r="Q80" s="1"/>
      <c r="R80" s="1"/>
      <c r="S80" s="1"/>
      <c r="T80" s="1"/>
    </row>
    <row r="81" spans="1:20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1"/>
      <c r="M81" s="11"/>
      <c r="N81" s="1"/>
      <c r="O81" s="1"/>
      <c r="P81" s="1"/>
      <c r="Q81" s="1"/>
      <c r="R81" s="1"/>
      <c r="S81" s="1"/>
      <c r="T81" s="1"/>
    </row>
    <row r="82" spans="1:20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1"/>
      <c r="M82" s="11"/>
      <c r="N82" s="1"/>
      <c r="O82" s="1"/>
      <c r="P82" s="1"/>
      <c r="Q82" s="1"/>
      <c r="R82" s="1"/>
      <c r="S82" s="1"/>
      <c r="T82" s="1"/>
    </row>
    <row r="83" spans="1:20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1"/>
      <c r="M83" s="11"/>
      <c r="N83" s="1"/>
      <c r="O83" s="1"/>
      <c r="P83" s="1"/>
      <c r="Q83" s="1"/>
      <c r="R83" s="1"/>
      <c r="S83" s="1"/>
      <c r="T83" s="1"/>
    </row>
    <row r="84" spans="1:20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1"/>
      <c r="M84" s="11"/>
      <c r="N84" s="1"/>
      <c r="O84" s="1"/>
      <c r="P84" s="1"/>
      <c r="Q84" s="1"/>
      <c r="R84" s="1"/>
      <c r="S84" s="1"/>
      <c r="T84" s="1"/>
    </row>
    <row r="85" spans="1:20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1"/>
      <c r="M85" s="11"/>
      <c r="N85" s="1"/>
      <c r="O85" s="1"/>
      <c r="P85" s="1"/>
      <c r="Q85" s="1"/>
      <c r="R85" s="1"/>
      <c r="S85" s="1"/>
      <c r="T85" s="1"/>
    </row>
    <row r="86" spans="1:20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1"/>
      <c r="M86" s="11"/>
      <c r="N86" s="1"/>
      <c r="O86" s="1"/>
      <c r="P86" s="1"/>
      <c r="Q86" s="1"/>
      <c r="R86" s="1"/>
      <c r="S86" s="1"/>
      <c r="T86" s="1"/>
    </row>
    <row r="87" spans="1:20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1"/>
      <c r="M87" s="11"/>
      <c r="N87" s="1"/>
      <c r="O87" s="1"/>
      <c r="P87" s="1"/>
      <c r="Q87" s="1"/>
      <c r="R87" s="1"/>
      <c r="S87" s="1"/>
      <c r="T87" s="1"/>
    </row>
    <row r="88" spans="1:20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1"/>
      <c r="M88" s="11"/>
      <c r="N88" s="1"/>
      <c r="O88" s="1"/>
      <c r="P88" s="1"/>
      <c r="Q88" s="1"/>
      <c r="R88" s="1"/>
      <c r="S88" s="1"/>
      <c r="T88" s="1"/>
    </row>
    <row r="89" spans="1:20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1"/>
      <c r="M89" s="11"/>
      <c r="N89" s="1"/>
      <c r="O89" s="1"/>
      <c r="P89" s="1"/>
      <c r="Q89" s="1"/>
      <c r="R89" s="1"/>
      <c r="S89" s="1"/>
      <c r="T89" s="1"/>
    </row>
    <row r="90" spans="1:20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1"/>
      <c r="M90" s="11"/>
      <c r="N90" s="1"/>
      <c r="O90" s="1"/>
      <c r="P90" s="1"/>
      <c r="Q90" s="1"/>
      <c r="R90" s="1"/>
      <c r="S90" s="1"/>
      <c r="T90" s="1"/>
    </row>
    <row r="91" spans="1:20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1"/>
      <c r="M91" s="11"/>
      <c r="N91" s="1"/>
      <c r="O91" s="1"/>
      <c r="P91" s="1"/>
      <c r="Q91" s="1"/>
      <c r="R91" s="1"/>
      <c r="S91" s="1"/>
      <c r="T91" s="1"/>
    </row>
    <row r="92" spans="1:20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1"/>
      <c r="M92" s="11"/>
      <c r="N92" s="1"/>
      <c r="O92" s="1"/>
      <c r="P92" s="1"/>
      <c r="Q92" s="1"/>
      <c r="R92" s="1"/>
      <c r="S92" s="1"/>
      <c r="T92" s="1"/>
    </row>
    <row r="93" spans="1:20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1"/>
      <c r="M93" s="11"/>
      <c r="N93" s="1"/>
      <c r="O93" s="1"/>
      <c r="P93" s="1"/>
      <c r="Q93" s="1"/>
      <c r="R93" s="1"/>
      <c r="S93" s="1"/>
      <c r="T93" s="1"/>
    </row>
    <row r="94" spans="1:20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1"/>
      <c r="M94" s="11"/>
      <c r="N94" s="1"/>
      <c r="O94" s="1"/>
      <c r="P94" s="1"/>
      <c r="Q94" s="1"/>
      <c r="R94" s="1"/>
      <c r="S94" s="1"/>
      <c r="T94" s="1"/>
    </row>
    <row r="95" spans="1:20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1"/>
      <c r="M95" s="11"/>
      <c r="N95" s="1"/>
      <c r="O95" s="1"/>
      <c r="P95" s="1"/>
      <c r="Q95" s="1"/>
      <c r="R95" s="1"/>
      <c r="S95" s="1"/>
      <c r="T95" s="1"/>
    </row>
    <row r="96" spans="1:20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1"/>
      <c r="M96" s="11"/>
      <c r="N96" s="1"/>
      <c r="O96" s="1"/>
      <c r="P96" s="1"/>
      <c r="Q96" s="1"/>
      <c r="R96" s="1"/>
      <c r="S96" s="1"/>
      <c r="T96" s="1"/>
    </row>
    <row r="97" spans="1:20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1"/>
      <c r="M97" s="11"/>
      <c r="N97" s="1"/>
      <c r="O97" s="1"/>
      <c r="P97" s="1"/>
      <c r="Q97" s="1"/>
      <c r="R97" s="1"/>
      <c r="S97" s="1"/>
      <c r="T97" s="1"/>
    </row>
    <row r="98" spans="1:20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1"/>
      <c r="M98" s="11"/>
      <c r="N98" s="1"/>
      <c r="O98" s="1"/>
      <c r="P98" s="1"/>
      <c r="Q98" s="1"/>
      <c r="R98" s="1"/>
      <c r="S98" s="1"/>
      <c r="T98" s="1"/>
    </row>
    <row r="99" spans="1:20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1"/>
      <c r="M99" s="11"/>
      <c r="N99" s="1"/>
      <c r="O99" s="1"/>
      <c r="P99" s="1"/>
      <c r="Q99" s="1"/>
      <c r="R99" s="1"/>
      <c r="S99" s="1"/>
      <c r="T99" s="1"/>
    </row>
    <row r="100" spans="1:20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1"/>
      <c r="M100" s="11"/>
      <c r="N100" s="1"/>
      <c r="O100" s="1"/>
      <c r="P100" s="1"/>
      <c r="Q100" s="1"/>
      <c r="R100" s="1"/>
      <c r="S100" s="1"/>
      <c r="T100" s="1"/>
    </row>
    <row r="101" spans="1:20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1"/>
      <c r="M101" s="11"/>
      <c r="N101" s="1"/>
      <c r="O101" s="1"/>
      <c r="P101" s="1"/>
      <c r="Q101" s="1"/>
      <c r="R101" s="1"/>
      <c r="S101" s="1"/>
      <c r="T101" s="1"/>
    </row>
    <row r="102" spans="1:20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1"/>
      <c r="M102" s="11"/>
      <c r="N102" s="1"/>
      <c r="O102" s="1"/>
      <c r="P102" s="1"/>
      <c r="Q102" s="1"/>
      <c r="R102" s="1"/>
      <c r="S102" s="1"/>
      <c r="T102" s="1"/>
    </row>
    <row r="103" spans="1:20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1"/>
      <c r="M103" s="11"/>
      <c r="N103" s="1"/>
      <c r="O103" s="1"/>
      <c r="P103" s="1"/>
      <c r="Q103" s="1"/>
      <c r="R103" s="1"/>
      <c r="S103" s="1"/>
      <c r="T103" s="1"/>
    </row>
    <row r="104" spans="1:20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1"/>
      <c r="M104" s="11"/>
      <c r="N104" s="1"/>
      <c r="O104" s="1"/>
      <c r="P104" s="1"/>
      <c r="Q104" s="1"/>
      <c r="R104" s="1"/>
      <c r="S104" s="1"/>
      <c r="T104" s="1"/>
    </row>
    <row r="105" spans="1:20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1"/>
      <c r="M105" s="11"/>
      <c r="N105" s="1"/>
      <c r="O105" s="1"/>
      <c r="P105" s="1"/>
      <c r="Q105" s="1"/>
      <c r="R105" s="1"/>
      <c r="S105" s="1"/>
      <c r="T105" s="1"/>
    </row>
    <row r="106" spans="1:20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1"/>
      <c r="M106" s="11"/>
      <c r="N106" s="1"/>
      <c r="O106" s="1"/>
      <c r="P106" s="1"/>
      <c r="Q106" s="1"/>
      <c r="R106" s="1"/>
      <c r="S106" s="1"/>
      <c r="T106" s="1"/>
    </row>
    <row r="107" spans="1:20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1"/>
      <c r="M107" s="11"/>
      <c r="N107" s="1"/>
      <c r="O107" s="1"/>
      <c r="P107" s="1"/>
      <c r="Q107" s="1"/>
      <c r="R107" s="1"/>
      <c r="S107" s="1"/>
      <c r="T107" s="1"/>
    </row>
    <row r="108" spans="1:20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1"/>
      <c r="M108" s="11"/>
      <c r="N108" s="1"/>
      <c r="O108" s="1"/>
      <c r="P108" s="1"/>
      <c r="Q108" s="1"/>
      <c r="R108" s="1"/>
      <c r="S108" s="1"/>
      <c r="T108" s="1"/>
    </row>
    <row r="109" spans="1:20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1:20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1:20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1:20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1:20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1:20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1:20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1:20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1:20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1:20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1:20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1:20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1:20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1:20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1:20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1:20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1:20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1:20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1:20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1:20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1:20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1:20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1:20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1:20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1:20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1:20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1:20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1:20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1:20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1:20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1:20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1:20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1:20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1:20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1:20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1:20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1:20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1:20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1:20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1:20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1:20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1:20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1:20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1:20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1:20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1:20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1:20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1:20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1:20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1:20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1:20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1:20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1:20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1:20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1:20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1:20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1:20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1:20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1:20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1:20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1:20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1:20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1:20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1:20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1:20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1:20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1:20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1:20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1:20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1:20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1:20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1:20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1:20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1:20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1:20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1:20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1:20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1:20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1:20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1:20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1:20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1:20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1:20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1:20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</sheetData>
  <mergeCells count="7">
    <mergeCell ref="J77:K77"/>
    <mergeCell ref="J78:K78"/>
    <mergeCell ref="A1:N1"/>
    <mergeCell ref="A2:N2"/>
    <mergeCell ref="A3:N3"/>
    <mergeCell ref="A4:B4"/>
    <mergeCell ref="C4:E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0"/>
  <sheetViews>
    <sheetView topLeftCell="A4" workbookViewId="0">
      <selection activeCell="P6" sqref="P6"/>
    </sheetView>
  </sheetViews>
  <sheetFormatPr defaultRowHeight="15" x14ac:dyDescent="0.25"/>
  <cols>
    <col min="2" max="2" width="16.28515625" customWidth="1"/>
    <col min="3" max="3" width="20.85546875" customWidth="1"/>
    <col min="4" max="4" width="12.140625" customWidth="1"/>
    <col min="5" max="5" width="10.85546875" customWidth="1"/>
    <col min="9" max="9" width="11.5703125" customWidth="1"/>
    <col min="10" max="10" width="13.85546875" customWidth="1"/>
    <col min="11" max="11" width="12.85546875" customWidth="1"/>
    <col min="12" max="12" width="13.42578125" customWidth="1"/>
  </cols>
  <sheetData>
    <row r="1" spans="1:14" x14ac:dyDescent="0.25">
      <c r="A1" s="43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</row>
    <row r="2" spans="1:14" x14ac:dyDescent="0.25">
      <c r="A2" s="43" t="s">
        <v>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</row>
    <row r="3" spans="1:14" x14ac:dyDescent="0.25">
      <c r="A3" s="44" t="s">
        <v>20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</row>
    <row r="4" spans="1:14" ht="15.75" thickBot="1" x14ac:dyDescent="0.3">
      <c r="A4" s="45" t="s">
        <v>18</v>
      </c>
      <c r="B4" s="46"/>
      <c r="C4" s="47" t="s">
        <v>19</v>
      </c>
      <c r="D4" s="48"/>
      <c r="E4" s="48"/>
      <c r="F4" s="12" t="s">
        <v>69</v>
      </c>
      <c r="G4" s="10"/>
      <c r="H4" s="13"/>
      <c r="I4" s="10"/>
      <c r="J4" s="10"/>
      <c r="K4" s="10"/>
      <c r="L4" s="14" t="s">
        <v>2</v>
      </c>
      <c r="M4" s="10"/>
      <c r="N4" s="10"/>
    </row>
    <row r="5" spans="1:14" ht="51.75" thickBot="1" x14ac:dyDescent="0.3">
      <c r="A5" s="15" t="s">
        <v>3</v>
      </c>
      <c r="B5" s="2" t="s">
        <v>4</v>
      </c>
      <c r="C5" s="2" t="s">
        <v>5</v>
      </c>
      <c r="D5" s="16" t="s">
        <v>66</v>
      </c>
      <c r="E5" s="16" t="s">
        <v>6</v>
      </c>
      <c r="F5" s="16" t="s">
        <v>7</v>
      </c>
      <c r="G5" s="16" t="s">
        <v>8</v>
      </c>
      <c r="H5" s="16" t="s">
        <v>9</v>
      </c>
      <c r="I5" s="16" t="s">
        <v>10</v>
      </c>
      <c r="J5" s="17" t="s">
        <v>11</v>
      </c>
      <c r="K5" s="2" t="s">
        <v>12</v>
      </c>
      <c r="L5" s="18" t="s">
        <v>13</v>
      </c>
      <c r="M5" s="16" t="s">
        <v>14</v>
      </c>
      <c r="N5" s="16" t="s">
        <v>15</v>
      </c>
    </row>
    <row r="6" spans="1:14" x14ac:dyDescent="0.25">
      <c r="A6" s="19">
        <v>1</v>
      </c>
      <c r="B6" s="8">
        <v>24032460</v>
      </c>
      <c r="C6" s="9" t="s">
        <v>21</v>
      </c>
      <c r="D6" s="3"/>
      <c r="E6" s="8">
        <v>3</v>
      </c>
      <c r="F6" s="8">
        <v>5</v>
      </c>
      <c r="G6" s="8">
        <v>5</v>
      </c>
      <c r="H6" s="8">
        <v>2</v>
      </c>
      <c r="I6" s="5">
        <v>30</v>
      </c>
      <c r="J6" s="20">
        <f>I6/5</f>
        <v>6</v>
      </c>
      <c r="K6" s="21">
        <v>23</v>
      </c>
      <c r="L6" s="8">
        <f>K6/4</f>
        <v>5.75</v>
      </c>
      <c r="M6" s="8"/>
      <c r="N6" s="22">
        <f>E6+F6+G6+H6+J6+L6+M6</f>
        <v>26.75</v>
      </c>
    </row>
    <row r="7" spans="1:14" x14ac:dyDescent="0.25">
      <c r="A7" s="19">
        <v>2</v>
      </c>
      <c r="B7" s="8">
        <v>24032461</v>
      </c>
      <c r="C7" s="9" t="s">
        <v>22</v>
      </c>
      <c r="D7" s="3"/>
      <c r="E7" s="8">
        <v>3</v>
      </c>
      <c r="F7" s="8">
        <v>5</v>
      </c>
      <c r="G7" s="8">
        <v>5</v>
      </c>
      <c r="H7" s="8">
        <v>2</v>
      </c>
      <c r="I7" s="5">
        <v>23</v>
      </c>
      <c r="J7" s="20">
        <f t="shared" ref="J7:J50" si="0">I7/5</f>
        <v>4.5999999999999996</v>
      </c>
      <c r="K7" s="23">
        <v>12</v>
      </c>
      <c r="L7" s="8">
        <f t="shared" ref="L7:L50" si="1">K7/4</f>
        <v>3</v>
      </c>
      <c r="M7" s="8"/>
      <c r="N7" s="22">
        <f t="shared" ref="N7:N50" si="2">E7+F7+G7+H7+J7+L7+M7</f>
        <v>22.6</v>
      </c>
    </row>
    <row r="8" spans="1:14" x14ac:dyDescent="0.25">
      <c r="A8" s="19">
        <v>3</v>
      </c>
      <c r="B8" s="8">
        <v>24032462</v>
      </c>
      <c r="C8" s="9" t="s">
        <v>23</v>
      </c>
      <c r="D8" s="3"/>
      <c r="E8" s="8">
        <v>3</v>
      </c>
      <c r="F8" s="8">
        <v>5</v>
      </c>
      <c r="G8" s="8">
        <v>5</v>
      </c>
      <c r="H8" s="8">
        <v>2</v>
      </c>
      <c r="I8" s="5">
        <v>30</v>
      </c>
      <c r="J8" s="20">
        <f t="shared" si="0"/>
        <v>6</v>
      </c>
      <c r="K8" s="20">
        <v>30</v>
      </c>
      <c r="L8" s="8">
        <f t="shared" si="1"/>
        <v>7.5</v>
      </c>
      <c r="M8" s="8"/>
      <c r="N8" s="22">
        <f t="shared" si="2"/>
        <v>28.5</v>
      </c>
    </row>
    <row r="9" spans="1:14" x14ac:dyDescent="0.25">
      <c r="A9" s="19">
        <v>4</v>
      </c>
      <c r="B9" s="8">
        <v>24032463</v>
      </c>
      <c r="C9" s="9" t="s">
        <v>24</v>
      </c>
      <c r="D9" s="3"/>
      <c r="E9" s="8">
        <v>3</v>
      </c>
      <c r="F9" s="8">
        <v>5</v>
      </c>
      <c r="G9" s="8">
        <v>5</v>
      </c>
      <c r="H9" s="8">
        <v>2</v>
      </c>
      <c r="I9" s="5">
        <v>15</v>
      </c>
      <c r="J9" s="20">
        <f t="shared" si="0"/>
        <v>3</v>
      </c>
      <c r="K9" s="24">
        <v>55</v>
      </c>
      <c r="L9" s="8">
        <f t="shared" si="1"/>
        <v>13.75</v>
      </c>
      <c r="M9" s="8"/>
      <c r="N9" s="22">
        <f t="shared" si="2"/>
        <v>31.75</v>
      </c>
    </row>
    <row r="10" spans="1:14" x14ac:dyDescent="0.25">
      <c r="A10" s="19">
        <v>5</v>
      </c>
      <c r="B10" s="8">
        <v>24032464</v>
      </c>
      <c r="C10" s="9" t="s">
        <v>25</v>
      </c>
      <c r="D10" s="3"/>
      <c r="E10" s="8">
        <v>3</v>
      </c>
      <c r="F10" s="8">
        <v>5</v>
      </c>
      <c r="G10" s="8">
        <v>5</v>
      </c>
      <c r="H10" s="8">
        <v>2</v>
      </c>
      <c r="I10" s="5" t="s">
        <v>68</v>
      </c>
      <c r="J10" s="20" t="e">
        <f t="shared" si="0"/>
        <v>#VALUE!</v>
      </c>
      <c r="K10" s="24" t="s">
        <v>68</v>
      </c>
      <c r="L10" s="8" t="e">
        <f t="shared" si="1"/>
        <v>#VALUE!</v>
      </c>
      <c r="M10" s="8"/>
      <c r="N10" s="22" t="e">
        <f t="shared" si="2"/>
        <v>#VALUE!</v>
      </c>
    </row>
    <row r="11" spans="1:14" x14ac:dyDescent="0.25">
      <c r="A11" s="19">
        <v>6</v>
      </c>
      <c r="B11" s="8">
        <v>24032465</v>
      </c>
      <c r="C11" s="9" t="s">
        <v>26</v>
      </c>
      <c r="D11" s="3"/>
      <c r="E11" s="8">
        <v>3</v>
      </c>
      <c r="F11" s="8">
        <v>5</v>
      </c>
      <c r="G11" s="8">
        <v>5</v>
      </c>
      <c r="H11" s="8">
        <v>2</v>
      </c>
      <c r="I11" s="5" t="s">
        <v>68</v>
      </c>
      <c r="J11" s="20" t="e">
        <f t="shared" si="0"/>
        <v>#VALUE!</v>
      </c>
      <c r="K11" s="23" t="s">
        <v>68</v>
      </c>
      <c r="L11" s="8" t="e">
        <f t="shared" si="1"/>
        <v>#VALUE!</v>
      </c>
      <c r="M11" s="8"/>
      <c r="N11" s="22" t="e">
        <f t="shared" si="2"/>
        <v>#VALUE!</v>
      </c>
    </row>
    <row r="12" spans="1:14" x14ac:dyDescent="0.25">
      <c r="A12" s="19">
        <v>7</v>
      </c>
      <c r="B12" s="8">
        <v>24032466</v>
      </c>
      <c r="C12" s="9" t="s">
        <v>27</v>
      </c>
      <c r="D12" s="3"/>
      <c r="E12" s="8">
        <v>3</v>
      </c>
      <c r="F12" s="8">
        <v>5</v>
      </c>
      <c r="G12" s="8">
        <v>5</v>
      </c>
      <c r="H12" s="8">
        <v>2</v>
      </c>
      <c r="I12" s="5">
        <v>25</v>
      </c>
      <c r="J12" s="20">
        <f t="shared" si="0"/>
        <v>5</v>
      </c>
      <c r="K12" s="20">
        <v>23</v>
      </c>
      <c r="L12" s="8">
        <f t="shared" si="1"/>
        <v>5.75</v>
      </c>
      <c r="M12" s="8"/>
      <c r="N12" s="22">
        <f t="shared" si="2"/>
        <v>25.75</v>
      </c>
    </row>
    <row r="13" spans="1:14" x14ac:dyDescent="0.25">
      <c r="A13" s="19">
        <v>8</v>
      </c>
      <c r="B13" s="8">
        <v>24032467</v>
      </c>
      <c r="C13" s="9" t="s">
        <v>28</v>
      </c>
      <c r="D13" s="3"/>
      <c r="E13" s="8">
        <v>3</v>
      </c>
      <c r="F13" s="8">
        <v>5</v>
      </c>
      <c r="G13" s="8">
        <v>5</v>
      </c>
      <c r="H13" s="8">
        <v>2</v>
      </c>
      <c r="I13" s="5">
        <v>4</v>
      </c>
      <c r="J13" s="20">
        <f t="shared" si="0"/>
        <v>0.8</v>
      </c>
      <c r="K13" s="23" t="s">
        <v>68</v>
      </c>
      <c r="L13" s="8" t="e">
        <f t="shared" si="1"/>
        <v>#VALUE!</v>
      </c>
      <c r="M13" s="8"/>
      <c r="N13" s="22" t="e">
        <f t="shared" si="2"/>
        <v>#VALUE!</v>
      </c>
    </row>
    <row r="14" spans="1:14" x14ac:dyDescent="0.25">
      <c r="A14" s="19">
        <v>9</v>
      </c>
      <c r="B14" s="8">
        <v>24032468</v>
      </c>
      <c r="C14" s="9" t="s">
        <v>29</v>
      </c>
      <c r="D14" s="3"/>
      <c r="E14" s="8">
        <v>3</v>
      </c>
      <c r="F14" s="8">
        <v>5</v>
      </c>
      <c r="G14" s="8">
        <v>5</v>
      </c>
      <c r="H14" s="8">
        <v>2</v>
      </c>
      <c r="I14" s="5">
        <v>34</v>
      </c>
      <c r="J14" s="20">
        <f t="shared" si="0"/>
        <v>6.8</v>
      </c>
      <c r="K14" s="20">
        <v>44</v>
      </c>
      <c r="L14" s="8">
        <f t="shared" si="1"/>
        <v>11</v>
      </c>
      <c r="M14" s="8"/>
      <c r="N14" s="22">
        <f t="shared" si="2"/>
        <v>32.799999999999997</v>
      </c>
    </row>
    <row r="15" spans="1:14" x14ac:dyDescent="0.25">
      <c r="A15" s="19">
        <v>10</v>
      </c>
      <c r="B15" s="8">
        <v>24032469</v>
      </c>
      <c r="C15" s="9" t="s">
        <v>30</v>
      </c>
      <c r="D15" s="3"/>
      <c r="E15" s="8">
        <v>3</v>
      </c>
      <c r="F15" s="8">
        <v>5</v>
      </c>
      <c r="G15" s="8">
        <v>5</v>
      </c>
      <c r="H15" s="8">
        <v>2</v>
      </c>
      <c r="I15" s="5">
        <v>23</v>
      </c>
      <c r="J15" s="20">
        <f t="shared" si="0"/>
        <v>4.5999999999999996</v>
      </c>
      <c r="K15" s="20">
        <v>5</v>
      </c>
      <c r="L15" s="8">
        <f t="shared" si="1"/>
        <v>1.25</v>
      </c>
      <c r="M15" s="8"/>
      <c r="N15" s="22">
        <f t="shared" si="2"/>
        <v>20.85</v>
      </c>
    </row>
    <row r="16" spans="1:14" x14ac:dyDescent="0.25">
      <c r="A16" s="19">
        <v>11</v>
      </c>
      <c r="B16" s="8">
        <v>24032470</v>
      </c>
      <c r="C16" s="9" t="s">
        <v>31</v>
      </c>
      <c r="D16" s="3"/>
      <c r="E16" s="8">
        <v>3</v>
      </c>
      <c r="F16" s="8">
        <v>5</v>
      </c>
      <c r="G16" s="8">
        <v>5</v>
      </c>
      <c r="H16" s="8">
        <v>2</v>
      </c>
      <c r="I16" s="5">
        <v>13</v>
      </c>
      <c r="J16" s="20">
        <f t="shared" si="0"/>
        <v>2.6</v>
      </c>
      <c r="K16" s="3">
        <v>12</v>
      </c>
      <c r="L16" s="8">
        <f t="shared" si="1"/>
        <v>3</v>
      </c>
      <c r="M16" s="3"/>
      <c r="N16" s="22">
        <f t="shared" si="2"/>
        <v>20.6</v>
      </c>
    </row>
    <row r="17" spans="1:14" x14ac:dyDescent="0.25">
      <c r="A17" s="19">
        <v>12</v>
      </c>
      <c r="B17" s="8">
        <v>24032471</v>
      </c>
      <c r="C17" s="9" t="s">
        <v>32</v>
      </c>
      <c r="D17" s="3"/>
      <c r="E17" s="8">
        <v>3</v>
      </c>
      <c r="F17" s="8">
        <v>5</v>
      </c>
      <c r="G17" s="8">
        <v>5</v>
      </c>
      <c r="H17" s="8">
        <v>2</v>
      </c>
      <c r="I17" s="5">
        <v>32</v>
      </c>
      <c r="J17" s="20">
        <f t="shared" si="0"/>
        <v>6.4</v>
      </c>
      <c r="K17" s="4">
        <v>36</v>
      </c>
      <c r="L17" s="8">
        <f t="shared" si="1"/>
        <v>9</v>
      </c>
      <c r="M17" s="8"/>
      <c r="N17" s="22">
        <f t="shared" si="2"/>
        <v>30.4</v>
      </c>
    </row>
    <row r="18" spans="1:14" x14ac:dyDescent="0.25">
      <c r="A18" s="19">
        <v>13</v>
      </c>
      <c r="B18" s="8">
        <v>24032472</v>
      </c>
      <c r="C18" s="9" t="s">
        <v>33</v>
      </c>
      <c r="D18" s="3"/>
      <c r="E18" s="8">
        <v>3</v>
      </c>
      <c r="F18" s="8">
        <v>5</v>
      </c>
      <c r="G18" s="8">
        <v>5</v>
      </c>
      <c r="H18" s="8">
        <v>2</v>
      </c>
      <c r="I18" s="5">
        <v>30</v>
      </c>
      <c r="J18" s="20">
        <f t="shared" si="0"/>
        <v>6</v>
      </c>
      <c r="K18" s="20">
        <v>29</v>
      </c>
      <c r="L18" s="8">
        <f t="shared" si="1"/>
        <v>7.25</v>
      </c>
      <c r="M18" s="8"/>
      <c r="N18" s="22">
        <f t="shared" si="2"/>
        <v>28.25</v>
      </c>
    </row>
    <row r="19" spans="1:14" x14ac:dyDescent="0.25">
      <c r="A19" s="19">
        <v>14</v>
      </c>
      <c r="B19" s="8">
        <v>24032473</v>
      </c>
      <c r="C19" s="9" t="s">
        <v>34</v>
      </c>
      <c r="D19" s="3"/>
      <c r="E19" s="8">
        <v>3</v>
      </c>
      <c r="F19" s="8">
        <v>5</v>
      </c>
      <c r="G19" s="8">
        <v>5</v>
      </c>
      <c r="H19" s="8">
        <v>2</v>
      </c>
      <c r="I19" s="5">
        <v>21</v>
      </c>
      <c r="J19" s="20">
        <f t="shared" si="0"/>
        <v>4.2</v>
      </c>
      <c r="K19" s="3">
        <v>31</v>
      </c>
      <c r="L19" s="8">
        <f t="shared" si="1"/>
        <v>7.75</v>
      </c>
      <c r="M19" s="3"/>
      <c r="N19" s="22">
        <f t="shared" si="2"/>
        <v>26.95</v>
      </c>
    </row>
    <row r="20" spans="1:14" x14ac:dyDescent="0.25">
      <c r="A20" s="19">
        <v>15</v>
      </c>
      <c r="B20" s="8">
        <v>24032474</v>
      </c>
      <c r="C20" s="9" t="s">
        <v>35</v>
      </c>
      <c r="D20" s="3"/>
      <c r="E20" s="8">
        <v>3</v>
      </c>
      <c r="F20" s="8">
        <v>5</v>
      </c>
      <c r="G20" s="8">
        <v>5</v>
      </c>
      <c r="H20" s="8">
        <v>2</v>
      </c>
      <c r="I20" s="5">
        <v>15</v>
      </c>
      <c r="J20" s="20">
        <f t="shared" si="0"/>
        <v>3</v>
      </c>
      <c r="K20" s="20">
        <v>14</v>
      </c>
      <c r="L20" s="8">
        <f t="shared" si="1"/>
        <v>3.5</v>
      </c>
      <c r="M20" s="8"/>
      <c r="N20" s="22">
        <f t="shared" si="2"/>
        <v>21.5</v>
      </c>
    </row>
    <row r="21" spans="1:14" x14ac:dyDescent="0.25">
      <c r="A21" s="19">
        <v>16</v>
      </c>
      <c r="B21" s="8">
        <v>24032475</v>
      </c>
      <c r="C21" s="9" t="s">
        <v>36</v>
      </c>
      <c r="D21" s="3"/>
      <c r="E21" s="8">
        <v>3</v>
      </c>
      <c r="F21" s="8">
        <v>5</v>
      </c>
      <c r="G21" s="8">
        <v>5</v>
      </c>
      <c r="H21" s="8">
        <v>2</v>
      </c>
      <c r="I21" s="5">
        <v>26</v>
      </c>
      <c r="J21" s="20">
        <f t="shared" si="0"/>
        <v>5.2</v>
      </c>
      <c r="K21" s="20">
        <v>15</v>
      </c>
      <c r="L21" s="8">
        <f t="shared" si="1"/>
        <v>3.75</v>
      </c>
      <c r="M21" s="8"/>
      <c r="N21" s="22">
        <f t="shared" si="2"/>
        <v>23.95</v>
      </c>
    </row>
    <row r="22" spans="1:14" x14ac:dyDescent="0.25">
      <c r="A22" s="19">
        <v>17</v>
      </c>
      <c r="B22" s="8">
        <v>24032476</v>
      </c>
      <c r="C22" s="9" t="s">
        <v>37</v>
      </c>
      <c r="D22" s="3"/>
      <c r="E22" s="8">
        <v>3</v>
      </c>
      <c r="F22" s="8">
        <v>5</v>
      </c>
      <c r="G22" s="8">
        <v>5</v>
      </c>
      <c r="H22" s="8">
        <v>2</v>
      </c>
      <c r="I22" s="5">
        <v>39</v>
      </c>
      <c r="J22" s="20">
        <f t="shared" si="0"/>
        <v>7.8</v>
      </c>
      <c r="K22" s="20">
        <v>51</v>
      </c>
      <c r="L22" s="8">
        <f t="shared" si="1"/>
        <v>12.75</v>
      </c>
      <c r="M22" s="8"/>
      <c r="N22" s="22">
        <f t="shared" si="2"/>
        <v>35.549999999999997</v>
      </c>
    </row>
    <row r="23" spans="1:14" x14ac:dyDescent="0.25">
      <c r="A23" s="19">
        <v>18</v>
      </c>
      <c r="B23" s="8">
        <v>24032477</v>
      </c>
      <c r="C23" s="9" t="s">
        <v>38</v>
      </c>
      <c r="D23" s="3"/>
      <c r="E23" s="8">
        <v>3</v>
      </c>
      <c r="F23" s="8">
        <v>5</v>
      </c>
      <c r="G23" s="8">
        <v>5</v>
      </c>
      <c r="H23" s="8">
        <v>2</v>
      </c>
      <c r="I23" s="5">
        <v>37</v>
      </c>
      <c r="J23" s="20">
        <f t="shared" si="0"/>
        <v>7.4</v>
      </c>
      <c r="K23" s="20">
        <v>55</v>
      </c>
      <c r="L23" s="8">
        <f t="shared" si="1"/>
        <v>13.75</v>
      </c>
      <c r="M23" s="8"/>
      <c r="N23" s="22">
        <f t="shared" si="2"/>
        <v>36.15</v>
      </c>
    </row>
    <row r="24" spans="1:14" x14ac:dyDescent="0.25">
      <c r="A24" s="19">
        <v>19</v>
      </c>
      <c r="B24" s="8">
        <v>24032478</v>
      </c>
      <c r="C24" s="9" t="s">
        <v>39</v>
      </c>
      <c r="D24" s="3"/>
      <c r="E24" s="8">
        <v>3</v>
      </c>
      <c r="F24" s="8">
        <v>5</v>
      </c>
      <c r="G24" s="8">
        <v>5</v>
      </c>
      <c r="H24" s="8">
        <v>2</v>
      </c>
      <c r="I24" s="5">
        <v>34</v>
      </c>
      <c r="J24" s="20">
        <f t="shared" si="0"/>
        <v>6.8</v>
      </c>
      <c r="K24" s="23">
        <v>51</v>
      </c>
      <c r="L24" s="8">
        <f t="shared" si="1"/>
        <v>12.75</v>
      </c>
      <c r="M24" s="8"/>
      <c r="N24" s="22">
        <f t="shared" si="2"/>
        <v>34.549999999999997</v>
      </c>
    </row>
    <row r="25" spans="1:14" x14ac:dyDescent="0.25">
      <c r="A25" s="19">
        <v>20</v>
      </c>
      <c r="B25" s="8">
        <v>24032479</v>
      </c>
      <c r="C25" s="9" t="s">
        <v>40</v>
      </c>
      <c r="D25" s="3"/>
      <c r="E25" s="8">
        <v>3</v>
      </c>
      <c r="F25" s="8">
        <v>5</v>
      </c>
      <c r="G25" s="8">
        <v>5</v>
      </c>
      <c r="H25" s="8">
        <v>2</v>
      </c>
      <c r="I25" s="5">
        <v>5</v>
      </c>
      <c r="J25" s="20">
        <f t="shared" si="0"/>
        <v>1</v>
      </c>
      <c r="K25" s="3">
        <v>12</v>
      </c>
      <c r="L25" s="8">
        <f t="shared" si="1"/>
        <v>3</v>
      </c>
      <c r="M25" s="3"/>
      <c r="N25" s="22">
        <f t="shared" si="2"/>
        <v>19</v>
      </c>
    </row>
    <row r="26" spans="1:14" x14ac:dyDescent="0.25">
      <c r="A26" s="19">
        <v>21</v>
      </c>
      <c r="B26" s="8">
        <v>24032480</v>
      </c>
      <c r="C26" s="9" t="s">
        <v>41</v>
      </c>
      <c r="D26" s="3"/>
      <c r="E26" s="8">
        <v>3</v>
      </c>
      <c r="F26" s="8">
        <v>5</v>
      </c>
      <c r="G26" s="8">
        <v>5</v>
      </c>
      <c r="H26" s="8">
        <v>2</v>
      </c>
      <c r="I26" s="5">
        <v>14</v>
      </c>
      <c r="J26" s="20">
        <f t="shared" si="0"/>
        <v>2.8</v>
      </c>
      <c r="K26" s="3">
        <v>5</v>
      </c>
      <c r="L26" s="8">
        <f t="shared" si="1"/>
        <v>1.25</v>
      </c>
      <c r="M26" s="3"/>
      <c r="N26" s="22">
        <f t="shared" si="2"/>
        <v>19.05</v>
      </c>
    </row>
    <row r="27" spans="1:14" x14ac:dyDescent="0.25">
      <c r="A27" s="19">
        <v>22</v>
      </c>
      <c r="B27" s="8">
        <v>24032481</v>
      </c>
      <c r="C27" s="9" t="s">
        <v>42</v>
      </c>
      <c r="D27" s="3"/>
      <c r="E27" s="8">
        <v>3</v>
      </c>
      <c r="F27" s="8">
        <v>5</v>
      </c>
      <c r="G27" s="8">
        <v>5</v>
      </c>
      <c r="H27" s="8">
        <v>2</v>
      </c>
      <c r="I27" s="5">
        <v>36</v>
      </c>
      <c r="J27" s="20">
        <f t="shared" si="0"/>
        <v>7.2</v>
      </c>
      <c r="K27" s="20">
        <v>36</v>
      </c>
      <c r="L27" s="8">
        <f t="shared" si="1"/>
        <v>9</v>
      </c>
      <c r="M27" s="8"/>
      <c r="N27" s="22">
        <f t="shared" si="2"/>
        <v>31.2</v>
      </c>
    </row>
    <row r="28" spans="1:14" x14ac:dyDescent="0.25">
      <c r="A28" s="19">
        <v>23</v>
      </c>
      <c r="B28" s="8">
        <v>24032482</v>
      </c>
      <c r="C28" s="9" t="s">
        <v>43</v>
      </c>
      <c r="D28" s="3"/>
      <c r="E28" s="8">
        <v>3</v>
      </c>
      <c r="F28" s="8">
        <v>5</v>
      </c>
      <c r="G28" s="8">
        <v>5</v>
      </c>
      <c r="H28" s="8">
        <v>2</v>
      </c>
      <c r="I28" s="6">
        <v>42</v>
      </c>
      <c r="J28" s="20">
        <f t="shared" si="0"/>
        <v>8.4</v>
      </c>
      <c r="K28" s="23">
        <v>55</v>
      </c>
      <c r="L28" s="8">
        <f t="shared" si="1"/>
        <v>13.75</v>
      </c>
      <c r="M28" s="8"/>
      <c r="N28" s="22">
        <f t="shared" si="2"/>
        <v>37.15</v>
      </c>
    </row>
    <row r="29" spans="1:14" x14ac:dyDescent="0.25">
      <c r="A29" s="19">
        <v>24</v>
      </c>
      <c r="B29" s="8">
        <v>24032483</v>
      </c>
      <c r="C29" s="9" t="s">
        <v>44</v>
      </c>
      <c r="D29" s="3"/>
      <c r="E29" s="8">
        <v>3</v>
      </c>
      <c r="F29" s="8">
        <v>5</v>
      </c>
      <c r="G29" s="8">
        <v>5</v>
      </c>
      <c r="H29" s="8">
        <v>2</v>
      </c>
      <c r="I29" s="6">
        <v>39</v>
      </c>
      <c r="J29" s="20">
        <f t="shared" si="0"/>
        <v>7.8</v>
      </c>
      <c r="K29" s="4">
        <v>47</v>
      </c>
      <c r="L29" s="8">
        <f t="shared" si="1"/>
        <v>11.75</v>
      </c>
      <c r="M29" s="8"/>
      <c r="N29" s="22">
        <f t="shared" si="2"/>
        <v>34.549999999999997</v>
      </c>
    </row>
    <row r="30" spans="1:14" x14ac:dyDescent="0.25">
      <c r="A30" s="19">
        <v>25</v>
      </c>
      <c r="B30" s="8">
        <v>24032484</v>
      </c>
      <c r="C30" s="9" t="s">
        <v>45</v>
      </c>
      <c r="D30" s="3"/>
      <c r="E30" s="8">
        <v>3</v>
      </c>
      <c r="F30" s="8">
        <v>5</v>
      </c>
      <c r="G30" s="8">
        <v>5</v>
      </c>
      <c r="H30" s="8">
        <v>2</v>
      </c>
      <c r="I30" s="5">
        <v>22</v>
      </c>
      <c r="J30" s="20">
        <f t="shared" si="0"/>
        <v>4.4000000000000004</v>
      </c>
      <c r="K30" s="20">
        <v>12</v>
      </c>
      <c r="L30" s="8">
        <f t="shared" si="1"/>
        <v>3</v>
      </c>
      <c r="M30" s="8"/>
      <c r="N30" s="22">
        <f t="shared" si="2"/>
        <v>22.4</v>
      </c>
    </row>
    <row r="31" spans="1:14" x14ac:dyDescent="0.25">
      <c r="A31" s="19">
        <v>26</v>
      </c>
      <c r="B31" s="8">
        <v>24032485</v>
      </c>
      <c r="C31" s="9" t="s">
        <v>46</v>
      </c>
      <c r="D31" s="3"/>
      <c r="E31" s="8">
        <v>3</v>
      </c>
      <c r="F31" s="8">
        <v>5</v>
      </c>
      <c r="G31" s="8">
        <v>5</v>
      </c>
      <c r="H31" s="8">
        <v>2</v>
      </c>
      <c r="I31" s="5">
        <v>23</v>
      </c>
      <c r="J31" s="20">
        <f t="shared" si="0"/>
        <v>4.5999999999999996</v>
      </c>
      <c r="K31" s="23">
        <v>14</v>
      </c>
      <c r="L31" s="8">
        <f t="shared" si="1"/>
        <v>3.5</v>
      </c>
      <c r="M31" s="8"/>
      <c r="N31" s="22">
        <f t="shared" si="2"/>
        <v>23.1</v>
      </c>
    </row>
    <row r="32" spans="1:14" x14ac:dyDescent="0.25">
      <c r="A32" s="19">
        <v>27</v>
      </c>
      <c r="B32" s="26">
        <v>24032486</v>
      </c>
      <c r="C32" s="27" t="s">
        <v>47</v>
      </c>
      <c r="D32" s="3"/>
      <c r="E32" s="8">
        <v>3</v>
      </c>
      <c r="F32" s="8">
        <v>5</v>
      </c>
      <c r="G32" s="8">
        <v>5</v>
      </c>
      <c r="H32" s="8">
        <v>2</v>
      </c>
      <c r="I32" s="5">
        <v>29</v>
      </c>
      <c r="J32" s="20">
        <f t="shared" si="0"/>
        <v>5.8</v>
      </c>
      <c r="K32" s="4">
        <v>32</v>
      </c>
      <c r="L32" s="8">
        <f t="shared" si="1"/>
        <v>8</v>
      </c>
      <c r="M32" s="8"/>
      <c r="N32" s="22">
        <f t="shared" si="2"/>
        <v>28.8</v>
      </c>
    </row>
    <row r="33" spans="1:14" x14ac:dyDescent="0.25">
      <c r="A33" s="19">
        <v>28</v>
      </c>
      <c r="B33" s="8">
        <v>24032487</v>
      </c>
      <c r="C33" s="9" t="s">
        <v>48</v>
      </c>
      <c r="D33" s="3"/>
      <c r="E33" s="8">
        <v>3</v>
      </c>
      <c r="F33" s="8">
        <v>5</v>
      </c>
      <c r="G33" s="8">
        <v>5</v>
      </c>
      <c r="H33" s="8">
        <v>2</v>
      </c>
      <c r="I33" s="5">
        <v>29</v>
      </c>
      <c r="J33" s="20">
        <f t="shared" si="0"/>
        <v>5.8</v>
      </c>
      <c r="K33" s="4">
        <v>47</v>
      </c>
      <c r="L33" s="8">
        <f t="shared" si="1"/>
        <v>11.75</v>
      </c>
      <c r="M33" s="8"/>
      <c r="N33" s="22">
        <f t="shared" si="2"/>
        <v>32.549999999999997</v>
      </c>
    </row>
    <row r="34" spans="1:14" x14ac:dyDescent="0.25">
      <c r="A34" s="19">
        <v>29</v>
      </c>
      <c r="B34" s="31">
        <v>24032488</v>
      </c>
      <c r="C34" s="9" t="s">
        <v>49</v>
      </c>
      <c r="D34" s="3"/>
      <c r="E34" s="8">
        <v>3</v>
      </c>
      <c r="F34" s="8">
        <v>5</v>
      </c>
      <c r="G34" s="8">
        <v>5</v>
      </c>
      <c r="H34" s="8">
        <v>2</v>
      </c>
      <c r="I34" s="5">
        <v>38</v>
      </c>
      <c r="J34" s="20">
        <f t="shared" si="0"/>
        <v>7.6</v>
      </c>
      <c r="K34" s="4">
        <v>14</v>
      </c>
      <c r="L34" s="8">
        <f t="shared" si="1"/>
        <v>3.5</v>
      </c>
      <c r="M34" s="8"/>
      <c r="N34" s="22">
        <f t="shared" si="2"/>
        <v>26.1</v>
      </c>
    </row>
    <row r="35" spans="1:14" x14ac:dyDescent="0.25">
      <c r="A35" s="19">
        <v>30</v>
      </c>
      <c r="B35" s="31">
        <v>24032489</v>
      </c>
      <c r="C35" s="9" t="s">
        <v>50</v>
      </c>
      <c r="D35" s="3"/>
      <c r="E35" s="8">
        <v>3</v>
      </c>
      <c r="F35" s="8">
        <v>5</v>
      </c>
      <c r="G35" s="8">
        <v>5</v>
      </c>
      <c r="H35" s="8">
        <v>2</v>
      </c>
      <c r="I35" s="5">
        <v>28</v>
      </c>
      <c r="J35" s="20">
        <f t="shared" si="0"/>
        <v>5.6</v>
      </c>
      <c r="K35" s="4">
        <v>4</v>
      </c>
      <c r="L35" s="8">
        <f t="shared" si="1"/>
        <v>1</v>
      </c>
      <c r="M35" s="8"/>
      <c r="N35" s="22">
        <f t="shared" si="2"/>
        <v>21.6</v>
      </c>
    </row>
    <row r="36" spans="1:14" x14ac:dyDescent="0.25">
      <c r="A36" s="19">
        <v>31</v>
      </c>
      <c r="B36" s="31">
        <v>24032490</v>
      </c>
      <c r="C36" s="9" t="s">
        <v>51</v>
      </c>
      <c r="D36" s="3"/>
      <c r="E36" s="8">
        <v>3</v>
      </c>
      <c r="F36" s="8">
        <v>5</v>
      </c>
      <c r="G36" s="8">
        <v>5</v>
      </c>
      <c r="H36" s="8">
        <v>2</v>
      </c>
      <c r="I36" s="5">
        <v>21</v>
      </c>
      <c r="J36" s="20">
        <f t="shared" si="0"/>
        <v>4.2</v>
      </c>
      <c r="K36" s="23">
        <v>6</v>
      </c>
      <c r="L36" s="8">
        <f t="shared" si="1"/>
        <v>1.5</v>
      </c>
      <c r="M36" s="8"/>
      <c r="N36" s="22">
        <f t="shared" si="2"/>
        <v>20.7</v>
      </c>
    </row>
    <row r="37" spans="1:14" x14ac:dyDescent="0.25">
      <c r="A37" s="19">
        <v>32</v>
      </c>
      <c r="B37" s="31">
        <v>24032491</v>
      </c>
      <c r="C37" s="9" t="s">
        <v>52</v>
      </c>
      <c r="D37" s="3"/>
      <c r="E37" s="8">
        <v>3</v>
      </c>
      <c r="F37" s="8">
        <v>5</v>
      </c>
      <c r="G37" s="8">
        <v>5</v>
      </c>
      <c r="H37" s="8">
        <v>2</v>
      </c>
      <c r="I37" s="5">
        <v>26</v>
      </c>
      <c r="J37" s="20">
        <f t="shared" si="0"/>
        <v>5.2</v>
      </c>
      <c r="K37" s="20">
        <v>44</v>
      </c>
      <c r="L37" s="8">
        <f t="shared" si="1"/>
        <v>11</v>
      </c>
      <c r="M37" s="8"/>
      <c r="N37" s="22">
        <f t="shared" si="2"/>
        <v>31.2</v>
      </c>
    </row>
    <row r="38" spans="1:14" x14ac:dyDescent="0.25">
      <c r="A38" s="19">
        <v>33</v>
      </c>
      <c r="B38" s="31">
        <v>24032492</v>
      </c>
      <c r="C38" s="9" t="s">
        <v>53</v>
      </c>
      <c r="D38" s="3"/>
      <c r="E38" s="8">
        <v>3</v>
      </c>
      <c r="F38" s="8">
        <v>5</v>
      </c>
      <c r="G38" s="8">
        <v>5</v>
      </c>
      <c r="H38" s="8">
        <v>2</v>
      </c>
      <c r="I38" s="5">
        <v>40</v>
      </c>
      <c r="J38" s="20">
        <f t="shared" si="0"/>
        <v>8</v>
      </c>
      <c r="K38" s="3">
        <v>69</v>
      </c>
      <c r="L38" s="8">
        <f t="shared" si="1"/>
        <v>17.25</v>
      </c>
      <c r="M38" s="8"/>
      <c r="N38" s="22">
        <f t="shared" si="2"/>
        <v>40.25</v>
      </c>
    </row>
    <row r="39" spans="1:14" x14ac:dyDescent="0.25">
      <c r="A39" s="19">
        <v>34</v>
      </c>
      <c r="B39" s="31">
        <v>24032493</v>
      </c>
      <c r="C39" s="9" t="s">
        <v>54</v>
      </c>
      <c r="D39" s="3"/>
      <c r="E39" s="8">
        <v>3</v>
      </c>
      <c r="F39" s="8">
        <v>5</v>
      </c>
      <c r="G39" s="8">
        <v>5</v>
      </c>
      <c r="H39" s="8">
        <v>2</v>
      </c>
      <c r="I39" s="5">
        <v>17</v>
      </c>
      <c r="J39" s="20">
        <f t="shared" si="0"/>
        <v>3.4</v>
      </c>
      <c r="K39" s="3">
        <v>8</v>
      </c>
      <c r="L39" s="8">
        <f t="shared" si="1"/>
        <v>2</v>
      </c>
      <c r="M39" s="8"/>
      <c r="N39" s="22">
        <f t="shared" si="2"/>
        <v>20.399999999999999</v>
      </c>
    </row>
    <row r="40" spans="1:14" x14ac:dyDescent="0.25">
      <c r="A40" s="19">
        <v>35</v>
      </c>
      <c r="B40" s="31">
        <v>24032494</v>
      </c>
      <c r="C40" s="9" t="s">
        <v>55</v>
      </c>
      <c r="D40" s="3"/>
      <c r="E40" s="8">
        <v>3</v>
      </c>
      <c r="F40" s="8">
        <v>5</v>
      </c>
      <c r="G40" s="8">
        <v>5</v>
      </c>
      <c r="H40" s="8">
        <v>2</v>
      </c>
      <c r="I40" s="8" t="s">
        <v>68</v>
      </c>
      <c r="J40" s="20" t="e">
        <f t="shared" si="0"/>
        <v>#VALUE!</v>
      </c>
      <c r="K40" s="3" t="s">
        <v>68</v>
      </c>
      <c r="L40" s="8" t="e">
        <f t="shared" si="1"/>
        <v>#VALUE!</v>
      </c>
      <c r="M40" s="8"/>
      <c r="N40" s="22" t="e">
        <f t="shared" si="2"/>
        <v>#VALUE!</v>
      </c>
    </row>
    <row r="41" spans="1:14" x14ac:dyDescent="0.25">
      <c r="A41" s="19">
        <v>36</v>
      </c>
      <c r="B41" s="31">
        <v>24032495</v>
      </c>
      <c r="C41" s="9" t="s">
        <v>56</v>
      </c>
      <c r="D41" s="3"/>
      <c r="E41" s="8">
        <v>3</v>
      </c>
      <c r="F41" s="8">
        <v>5</v>
      </c>
      <c r="G41" s="8">
        <v>5</v>
      </c>
      <c r="H41" s="8">
        <v>2</v>
      </c>
      <c r="I41" s="5">
        <v>12</v>
      </c>
      <c r="J41" s="20">
        <f t="shared" si="0"/>
        <v>2.4</v>
      </c>
      <c r="K41" s="3">
        <v>9</v>
      </c>
      <c r="L41" s="8">
        <f t="shared" si="1"/>
        <v>2.25</v>
      </c>
      <c r="M41" s="8"/>
      <c r="N41" s="22">
        <f t="shared" si="2"/>
        <v>19.649999999999999</v>
      </c>
    </row>
    <row r="42" spans="1:14" x14ac:dyDescent="0.25">
      <c r="A42" s="19">
        <v>37</v>
      </c>
      <c r="B42" s="31">
        <v>24032496</v>
      </c>
      <c r="C42" s="9" t="s">
        <v>57</v>
      </c>
      <c r="D42" s="3"/>
      <c r="E42" s="8">
        <v>3</v>
      </c>
      <c r="F42" s="8">
        <v>5</v>
      </c>
      <c r="G42" s="8">
        <v>5</v>
      </c>
      <c r="H42" s="8">
        <v>2</v>
      </c>
      <c r="I42" s="5">
        <v>4</v>
      </c>
      <c r="J42" s="20">
        <f t="shared" si="0"/>
        <v>0.8</v>
      </c>
      <c r="K42" s="3">
        <v>3</v>
      </c>
      <c r="L42" s="8">
        <f t="shared" si="1"/>
        <v>0.75</v>
      </c>
      <c r="M42" s="8"/>
      <c r="N42" s="22">
        <f t="shared" si="2"/>
        <v>16.55</v>
      </c>
    </row>
    <row r="43" spans="1:14" x14ac:dyDescent="0.25">
      <c r="A43" s="19">
        <v>38</v>
      </c>
      <c r="B43" s="31">
        <v>24032497</v>
      </c>
      <c r="C43" s="9" t="s">
        <v>58</v>
      </c>
      <c r="D43" s="3"/>
      <c r="E43" s="8">
        <v>3</v>
      </c>
      <c r="F43" s="8">
        <v>5</v>
      </c>
      <c r="G43" s="8">
        <v>5</v>
      </c>
      <c r="H43" s="8">
        <v>2</v>
      </c>
      <c r="I43" s="5">
        <v>28</v>
      </c>
      <c r="J43" s="20">
        <f t="shared" si="0"/>
        <v>5.6</v>
      </c>
      <c r="K43" s="3">
        <v>44</v>
      </c>
      <c r="L43" s="8">
        <f t="shared" si="1"/>
        <v>11</v>
      </c>
      <c r="M43" s="8"/>
      <c r="N43" s="22">
        <f t="shared" si="2"/>
        <v>31.6</v>
      </c>
    </row>
    <row r="44" spans="1:14" x14ac:dyDescent="0.25">
      <c r="A44" s="19">
        <v>39</v>
      </c>
      <c r="B44" s="31">
        <v>24032498</v>
      </c>
      <c r="C44" s="9" t="s">
        <v>59</v>
      </c>
      <c r="D44" s="3"/>
      <c r="E44" s="8">
        <v>3</v>
      </c>
      <c r="F44" s="8">
        <v>5</v>
      </c>
      <c r="G44" s="8">
        <v>5</v>
      </c>
      <c r="H44" s="8">
        <v>2</v>
      </c>
      <c r="I44" s="5">
        <v>15</v>
      </c>
      <c r="J44" s="20">
        <f t="shared" si="0"/>
        <v>3</v>
      </c>
      <c r="K44" s="3" t="s">
        <v>68</v>
      </c>
      <c r="L44" s="8" t="e">
        <f t="shared" si="1"/>
        <v>#VALUE!</v>
      </c>
      <c r="M44" s="8"/>
      <c r="N44" s="22" t="e">
        <f t="shared" si="2"/>
        <v>#VALUE!</v>
      </c>
    </row>
    <row r="45" spans="1:14" x14ac:dyDescent="0.25">
      <c r="A45" s="19">
        <v>40</v>
      </c>
      <c r="B45" s="31">
        <v>24032499</v>
      </c>
      <c r="C45" s="9" t="s">
        <v>60</v>
      </c>
      <c r="D45" s="3"/>
      <c r="E45" s="8">
        <v>3</v>
      </c>
      <c r="F45" s="8">
        <v>5</v>
      </c>
      <c r="G45" s="8">
        <v>5</v>
      </c>
      <c r="H45" s="8">
        <v>2</v>
      </c>
      <c r="I45" s="8">
        <v>38</v>
      </c>
      <c r="J45" s="20">
        <f t="shared" si="0"/>
        <v>7.6</v>
      </c>
      <c r="K45" s="3">
        <v>55</v>
      </c>
      <c r="L45" s="8">
        <f t="shared" si="1"/>
        <v>13.75</v>
      </c>
      <c r="M45" s="8"/>
      <c r="N45" s="22">
        <f t="shared" si="2"/>
        <v>36.35</v>
      </c>
    </row>
    <row r="46" spans="1:14" x14ac:dyDescent="0.25">
      <c r="A46" s="19">
        <v>41</v>
      </c>
      <c r="B46" s="31">
        <v>24032500</v>
      </c>
      <c r="C46" s="9" t="s">
        <v>61</v>
      </c>
      <c r="D46" s="3"/>
      <c r="E46" s="8">
        <v>3</v>
      </c>
      <c r="F46" s="8">
        <v>5</v>
      </c>
      <c r="G46" s="8">
        <v>5</v>
      </c>
      <c r="H46" s="8">
        <v>2</v>
      </c>
      <c r="I46" s="5">
        <v>15</v>
      </c>
      <c r="J46" s="20">
        <f t="shared" si="0"/>
        <v>3</v>
      </c>
      <c r="K46" s="3">
        <v>33</v>
      </c>
      <c r="L46" s="8">
        <f t="shared" si="1"/>
        <v>8.25</v>
      </c>
      <c r="M46" s="8"/>
      <c r="N46" s="22">
        <f t="shared" si="2"/>
        <v>26.25</v>
      </c>
    </row>
    <row r="47" spans="1:14" x14ac:dyDescent="0.25">
      <c r="A47" s="19">
        <v>42</v>
      </c>
      <c r="B47" s="31">
        <v>24032501</v>
      </c>
      <c r="C47" s="9" t="s">
        <v>62</v>
      </c>
      <c r="D47" s="3"/>
      <c r="E47" s="8">
        <v>3</v>
      </c>
      <c r="F47" s="8">
        <v>5</v>
      </c>
      <c r="G47" s="8">
        <v>5</v>
      </c>
      <c r="H47" s="8">
        <v>2</v>
      </c>
      <c r="I47" s="5">
        <v>15</v>
      </c>
      <c r="J47" s="20">
        <f t="shared" si="0"/>
        <v>3</v>
      </c>
      <c r="K47" s="3">
        <v>32</v>
      </c>
      <c r="L47" s="8">
        <f t="shared" si="1"/>
        <v>8</v>
      </c>
      <c r="M47" s="8"/>
      <c r="N47" s="22">
        <f t="shared" si="2"/>
        <v>26</v>
      </c>
    </row>
    <row r="48" spans="1:14" x14ac:dyDescent="0.25">
      <c r="A48" s="19">
        <v>43</v>
      </c>
      <c r="B48" s="31">
        <v>24032502</v>
      </c>
      <c r="C48" s="9" t="s">
        <v>63</v>
      </c>
      <c r="D48" s="3"/>
      <c r="E48" s="8">
        <v>3</v>
      </c>
      <c r="F48" s="8">
        <v>5</v>
      </c>
      <c r="G48" s="8">
        <v>5</v>
      </c>
      <c r="H48" s="8">
        <v>2</v>
      </c>
      <c r="I48" s="3">
        <v>18</v>
      </c>
      <c r="J48" s="20">
        <f t="shared" ref="J48" si="3">I48/5</f>
        <v>3.6</v>
      </c>
      <c r="K48" s="3">
        <v>30</v>
      </c>
      <c r="L48" s="8">
        <f t="shared" si="1"/>
        <v>7.5</v>
      </c>
      <c r="M48" s="8"/>
      <c r="N48" s="22">
        <f t="shared" ref="N48" si="4">E48+F48+G48+H48+J48+L48+M48</f>
        <v>26.1</v>
      </c>
    </row>
    <row r="49" spans="1:14" x14ac:dyDescent="0.25">
      <c r="A49" s="19">
        <v>44</v>
      </c>
      <c r="B49" s="31">
        <v>24032503</v>
      </c>
      <c r="C49" s="9" t="s">
        <v>65</v>
      </c>
      <c r="D49" s="3"/>
      <c r="E49" s="8"/>
      <c r="F49" s="8"/>
      <c r="G49" s="8"/>
      <c r="H49" s="8"/>
      <c r="I49" s="3" t="s">
        <v>68</v>
      </c>
      <c r="J49" s="20"/>
      <c r="K49" s="3" t="s">
        <v>68</v>
      </c>
      <c r="L49" s="8" t="e">
        <f t="shared" si="1"/>
        <v>#VALUE!</v>
      </c>
      <c r="M49" s="8"/>
      <c r="N49" s="22"/>
    </row>
    <row r="50" spans="1:14" x14ac:dyDescent="0.25">
      <c r="A50" s="19">
        <v>45</v>
      </c>
      <c r="B50" s="31">
        <v>24032504</v>
      </c>
      <c r="C50" s="9" t="s">
        <v>64</v>
      </c>
      <c r="D50" s="3"/>
      <c r="E50" s="8">
        <v>3</v>
      </c>
      <c r="F50" s="8">
        <v>5</v>
      </c>
      <c r="G50" s="8">
        <v>5</v>
      </c>
      <c r="H50" s="8">
        <v>2</v>
      </c>
      <c r="I50" s="3">
        <v>11</v>
      </c>
      <c r="J50" s="20">
        <f t="shared" si="0"/>
        <v>2.2000000000000002</v>
      </c>
      <c r="K50" s="3">
        <v>0</v>
      </c>
      <c r="L50" s="8">
        <f t="shared" si="1"/>
        <v>0</v>
      </c>
      <c r="M50" s="8"/>
      <c r="N50" s="22">
        <f t="shared" si="2"/>
        <v>17.2</v>
      </c>
    </row>
  </sheetData>
  <mergeCells count="5">
    <mergeCell ref="A1:N1"/>
    <mergeCell ref="A2:N2"/>
    <mergeCell ref="A3:N3"/>
    <mergeCell ref="A4:B4"/>
    <mergeCell ref="C4:E4"/>
  </mergeCells>
  <pageMargins left="0.7" right="0.7" top="0.75" bottom="0.75" header="0.3" footer="0.3"/>
  <pageSetup paperSize="9" scale="64" orientation="landscape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"/>
  <sheetViews>
    <sheetView workbookViewId="0">
      <selection activeCell="O12" sqref="O12"/>
    </sheetView>
  </sheetViews>
  <sheetFormatPr defaultRowHeight="15" x14ac:dyDescent="0.25"/>
  <cols>
    <col min="2" max="2" width="16.28515625" customWidth="1"/>
    <col min="3" max="3" width="20.85546875" customWidth="1"/>
    <col min="4" max="4" width="12.140625" customWidth="1"/>
    <col min="6" max="6" width="12.7109375" customWidth="1"/>
    <col min="9" max="9" width="16.7109375" customWidth="1"/>
    <col min="10" max="10" width="13.85546875" customWidth="1"/>
    <col min="11" max="11" width="12.28515625" customWidth="1"/>
    <col min="12" max="12" width="15.28515625" customWidth="1"/>
    <col min="13" max="13" width="10.28515625" customWidth="1"/>
    <col min="14" max="14" width="11.28515625" customWidth="1"/>
  </cols>
  <sheetData>
    <row r="1" spans="1:14" x14ac:dyDescent="0.25">
      <c r="A1" s="43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</row>
    <row r="2" spans="1:14" x14ac:dyDescent="0.25">
      <c r="A2" s="43" t="s">
        <v>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</row>
    <row r="3" spans="1:14" x14ac:dyDescent="0.25">
      <c r="A3" s="44" t="s">
        <v>20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</row>
    <row r="4" spans="1:14" ht="15.75" thickBot="1" x14ac:dyDescent="0.3">
      <c r="A4" s="45" t="s">
        <v>18</v>
      </c>
      <c r="B4" s="46"/>
      <c r="C4" s="47" t="s">
        <v>19</v>
      </c>
      <c r="D4" s="48"/>
      <c r="E4" s="48"/>
      <c r="F4" s="12" t="s">
        <v>70</v>
      </c>
      <c r="G4" s="10"/>
      <c r="H4" s="13"/>
      <c r="I4" s="10"/>
      <c r="J4" s="10"/>
      <c r="K4" s="10"/>
      <c r="L4" s="14" t="s">
        <v>2</v>
      </c>
      <c r="M4" s="10"/>
      <c r="N4" s="10"/>
    </row>
    <row r="5" spans="1:14" ht="39" thickBot="1" x14ac:dyDescent="0.3">
      <c r="A5" s="15" t="s">
        <v>3</v>
      </c>
      <c r="B5" s="2" t="s">
        <v>4</v>
      </c>
      <c r="C5" s="2" t="s">
        <v>5</v>
      </c>
      <c r="D5" s="16" t="s">
        <v>66</v>
      </c>
      <c r="E5" s="16" t="s">
        <v>6</v>
      </c>
      <c r="F5" s="16" t="s">
        <v>7</v>
      </c>
      <c r="G5" s="16" t="s">
        <v>8</v>
      </c>
      <c r="H5" s="16" t="s">
        <v>9</v>
      </c>
      <c r="I5" s="16" t="s">
        <v>10</v>
      </c>
      <c r="J5" s="17" t="s">
        <v>11</v>
      </c>
      <c r="K5" s="2" t="s">
        <v>12</v>
      </c>
      <c r="L5" s="18" t="s">
        <v>13</v>
      </c>
      <c r="M5" s="16" t="s">
        <v>14</v>
      </c>
      <c r="N5" s="16" t="s">
        <v>15</v>
      </c>
    </row>
    <row r="6" spans="1:14" x14ac:dyDescent="0.25">
      <c r="A6" s="19">
        <v>1</v>
      </c>
      <c r="B6" s="8">
        <v>24032460</v>
      </c>
      <c r="C6" s="9" t="s">
        <v>21</v>
      </c>
      <c r="D6" s="3"/>
      <c r="E6" s="8">
        <v>3</v>
      </c>
      <c r="F6" s="8">
        <v>5</v>
      </c>
      <c r="G6" s="8">
        <v>5</v>
      </c>
      <c r="H6" s="8">
        <v>2</v>
      </c>
      <c r="I6" s="5">
        <v>24</v>
      </c>
      <c r="J6" s="20">
        <f>I6/5</f>
        <v>4.8</v>
      </c>
      <c r="K6" s="21"/>
      <c r="L6" s="8">
        <f>K6/4</f>
        <v>0</v>
      </c>
      <c r="M6" s="8"/>
      <c r="N6" s="22">
        <f>E6+F6+G6+H6+J6+L6+M6</f>
        <v>19.8</v>
      </c>
    </row>
    <row r="7" spans="1:14" x14ac:dyDescent="0.25">
      <c r="A7" s="19">
        <v>2</v>
      </c>
      <c r="B7" s="8">
        <v>24032461</v>
      </c>
      <c r="C7" s="9" t="s">
        <v>22</v>
      </c>
      <c r="D7" s="3"/>
      <c r="E7" s="8">
        <v>3</v>
      </c>
      <c r="F7" s="8">
        <v>5</v>
      </c>
      <c r="G7" s="8">
        <v>5</v>
      </c>
      <c r="H7" s="8">
        <v>2</v>
      </c>
      <c r="I7" s="5">
        <v>24</v>
      </c>
      <c r="J7" s="20">
        <f t="shared" ref="J7:J50" si="0">I7/5</f>
        <v>4.8</v>
      </c>
      <c r="K7" s="23"/>
      <c r="L7" s="8">
        <f t="shared" ref="L7:L50" si="1">K7/4</f>
        <v>0</v>
      </c>
      <c r="M7" s="8"/>
      <c r="N7" s="22">
        <f t="shared" ref="N7:N50" si="2">E7+F7+G7+H7+J7+L7+M7</f>
        <v>19.8</v>
      </c>
    </row>
    <row r="8" spans="1:14" x14ac:dyDescent="0.25">
      <c r="A8" s="19">
        <v>3</v>
      </c>
      <c r="B8" s="8">
        <v>24032462</v>
      </c>
      <c r="C8" s="9" t="s">
        <v>23</v>
      </c>
      <c r="D8" s="3"/>
      <c r="E8" s="8">
        <v>3</v>
      </c>
      <c r="F8" s="8">
        <v>5</v>
      </c>
      <c r="G8" s="8">
        <v>5</v>
      </c>
      <c r="H8" s="8">
        <v>2</v>
      </c>
      <c r="I8" s="5">
        <v>24</v>
      </c>
      <c r="J8" s="20">
        <f t="shared" si="0"/>
        <v>4.8</v>
      </c>
      <c r="K8" s="20"/>
      <c r="L8" s="8">
        <f t="shared" si="1"/>
        <v>0</v>
      </c>
      <c r="M8" s="8"/>
      <c r="N8" s="22">
        <f t="shared" si="2"/>
        <v>19.8</v>
      </c>
    </row>
    <row r="9" spans="1:14" x14ac:dyDescent="0.25">
      <c r="A9" s="19">
        <v>4</v>
      </c>
      <c r="B9" s="8">
        <v>24032463</v>
      </c>
      <c r="C9" s="9" t="s">
        <v>24</v>
      </c>
      <c r="D9" s="3"/>
      <c r="E9" s="8">
        <v>3</v>
      </c>
      <c r="F9" s="8">
        <v>5</v>
      </c>
      <c r="G9" s="8">
        <v>5</v>
      </c>
      <c r="H9" s="8">
        <v>2</v>
      </c>
      <c r="I9" s="5">
        <v>23</v>
      </c>
      <c r="J9" s="20">
        <f t="shared" si="0"/>
        <v>4.5999999999999996</v>
      </c>
      <c r="K9" s="24"/>
      <c r="L9" s="8">
        <f t="shared" si="1"/>
        <v>0</v>
      </c>
      <c r="M9" s="8"/>
      <c r="N9" s="22">
        <f t="shared" si="2"/>
        <v>19.600000000000001</v>
      </c>
    </row>
    <row r="10" spans="1:14" x14ac:dyDescent="0.25">
      <c r="A10" s="19">
        <v>5</v>
      </c>
      <c r="B10" s="8">
        <v>24032464</v>
      </c>
      <c r="C10" s="9" t="s">
        <v>25</v>
      </c>
      <c r="D10" s="3"/>
      <c r="E10" s="8">
        <v>3</v>
      </c>
      <c r="F10" s="8">
        <v>5</v>
      </c>
      <c r="G10" s="8">
        <v>5</v>
      </c>
      <c r="H10" s="8">
        <v>2</v>
      </c>
      <c r="I10" s="5" t="s">
        <v>68</v>
      </c>
      <c r="J10" s="20" t="e">
        <f t="shared" si="0"/>
        <v>#VALUE!</v>
      </c>
      <c r="K10" s="24"/>
      <c r="L10" s="8">
        <f t="shared" si="1"/>
        <v>0</v>
      </c>
      <c r="M10" s="8"/>
      <c r="N10" s="22" t="e">
        <f t="shared" si="2"/>
        <v>#VALUE!</v>
      </c>
    </row>
    <row r="11" spans="1:14" x14ac:dyDescent="0.25">
      <c r="A11" s="19">
        <v>6</v>
      </c>
      <c r="B11" s="8">
        <v>24032465</v>
      </c>
      <c r="C11" s="9" t="s">
        <v>26</v>
      </c>
      <c r="D11" s="3"/>
      <c r="E11" s="8">
        <v>3</v>
      </c>
      <c r="F11" s="8">
        <v>5</v>
      </c>
      <c r="G11" s="8">
        <v>5</v>
      </c>
      <c r="H11" s="8">
        <v>2</v>
      </c>
      <c r="I11" s="5" t="s">
        <v>68</v>
      </c>
      <c r="J11" s="20" t="e">
        <f t="shared" si="0"/>
        <v>#VALUE!</v>
      </c>
      <c r="K11" s="23"/>
      <c r="L11" s="8">
        <f t="shared" si="1"/>
        <v>0</v>
      </c>
      <c r="M11" s="8"/>
      <c r="N11" s="22" t="e">
        <f t="shared" si="2"/>
        <v>#VALUE!</v>
      </c>
    </row>
    <row r="12" spans="1:14" x14ac:dyDescent="0.25">
      <c r="A12" s="19">
        <v>7</v>
      </c>
      <c r="B12" s="8">
        <v>24032466</v>
      </c>
      <c r="C12" s="9" t="s">
        <v>27</v>
      </c>
      <c r="D12" s="3"/>
      <c r="E12" s="8">
        <v>3</v>
      </c>
      <c r="F12" s="8">
        <v>5</v>
      </c>
      <c r="G12" s="8">
        <v>5</v>
      </c>
      <c r="H12" s="8">
        <v>2</v>
      </c>
      <c r="I12" s="5">
        <v>14</v>
      </c>
      <c r="J12" s="20">
        <f t="shared" si="0"/>
        <v>2.8</v>
      </c>
      <c r="K12" s="20"/>
      <c r="L12" s="8">
        <f t="shared" si="1"/>
        <v>0</v>
      </c>
      <c r="M12" s="8"/>
      <c r="N12" s="22">
        <f t="shared" si="2"/>
        <v>17.8</v>
      </c>
    </row>
    <row r="13" spans="1:14" x14ac:dyDescent="0.25">
      <c r="A13" s="19">
        <v>8</v>
      </c>
      <c r="B13" s="8">
        <v>24032467</v>
      </c>
      <c r="C13" s="9" t="s">
        <v>28</v>
      </c>
      <c r="D13" s="3"/>
      <c r="E13" s="8">
        <v>3</v>
      </c>
      <c r="F13" s="8">
        <v>5</v>
      </c>
      <c r="G13" s="8">
        <v>5</v>
      </c>
      <c r="H13" s="8">
        <v>2</v>
      </c>
      <c r="I13" s="5">
        <v>7</v>
      </c>
      <c r="J13" s="20">
        <f t="shared" si="0"/>
        <v>1.4</v>
      </c>
      <c r="K13" s="25"/>
      <c r="L13" s="8">
        <f t="shared" si="1"/>
        <v>0</v>
      </c>
      <c r="M13" s="8"/>
      <c r="N13" s="22">
        <f t="shared" si="2"/>
        <v>16.399999999999999</v>
      </c>
    </row>
    <row r="14" spans="1:14" x14ac:dyDescent="0.25">
      <c r="A14" s="19">
        <v>9</v>
      </c>
      <c r="B14" s="8">
        <v>24032468</v>
      </c>
      <c r="C14" s="9" t="s">
        <v>29</v>
      </c>
      <c r="D14" s="3"/>
      <c r="E14" s="8">
        <v>3</v>
      </c>
      <c r="F14" s="8">
        <v>5</v>
      </c>
      <c r="G14" s="8">
        <v>5</v>
      </c>
      <c r="H14" s="8">
        <v>2</v>
      </c>
      <c r="I14" s="5">
        <v>35</v>
      </c>
      <c r="J14" s="20">
        <f t="shared" si="0"/>
        <v>7</v>
      </c>
      <c r="K14" s="20"/>
      <c r="L14" s="8">
        <f t="shared" si="1"/>
        <v>0</v>
      </c>
      <c r="M14" s="8"/>
      <c r="N14" s="22">
        <f t="shared" si="2"/>
        <v>22</v>
      </c>
    </row>
    <row r="15" spans="1:14" x14ac:dyDescent="0.25">
      <c r="A15" s="19">
        <v>10</v>
      </c>
      <c r="B15" s="8">
        <v>24032469</v>
      </c>
      <c r="C15" s="9" t="s">
        <v>30</v>
      </c>
      <c r="D15" s="3"/>
      <c r="E15" s="8">
        <v>3</v>
      </c>
      <c r="F15" s="8">
        <v>5</v>
      </c>
      <c r="G15" s="8">
        <v>5</v>
      </c>
      <c r="H15" s="8">
        <v>2</v>
      </c>
      <c r="I15" s="5">
        <v>13</v>
      </c>
      <c r="J15" s="20">
        <f t="shared" si="0"/>
        <v>2.6</v>
      </c>
      <c r="K15" s="20"/>
      <c r="L15" s="8">
        <f t="shared" si="1"/>
        <v>0</v>
      </c>
      <c r="M15" s="8"/>
      <c r="N15" s="22">
        <f t="shared" si="2"/>
        <v>17.600000000000001</v>
      </c>
    </row>
    <row r="16" spans="1:14" x14ac:dyDescent="0.25">
      <c r="A16" s="19">
        <v>11</v>
      </c>
      <c r="B16" s="8">
        <v>24032470</v>
      </c>
      <c r="C16" s="9" t="s">
        <v>31</v>
      </c>
      <c r="D16" s="3"/>
      <c r="E16" s="8">
        <v>3</v>
      </c>
      <c r="F16" s="8">
        <v>5</v>
      </c>
      <c r="G16" s="8">
        <v>5</v>
      </c>
      <c r="H16" s="8">
        <v>2</v>
      </c>
      <c r="I16" s="5">
        <v>16</v>
      </c>
      <c r="J16" s="20">
        <f t="shared" si="0"/>
        <v>3.2</v>
      </c>
      <c r="K16" s="3"/>
      <c r="L16" s="8">
        <f t="shared" si="1"/>
        <v>0</v>
      </c>
      <c r="M16" s="3"/>
      <c r="N16" s="22">
        <f t="shared" si="2"/>
        <v>18.2</v>
      </c>
    </row>
    <row r="17" spans="1:14" x14ac:dyDescent="0.25">
      <c r="A17" s="19">
        <v>12</v>
      </c>
      <c r="B17" s="8">
        <v>24032471</v>
      </c>
      <c r="C17" s="9" t="s">
        <v>32</v>
      </c>
      <c r="D17" s="3"/>
      <c r="E17" s="8">
        <v>3</v>
      </c>
      <c r="F17" s="8">
        <v>5</v>
      </c>
      <c r="G17" s="8">
        <v>5</v>
      </c>
      <c r="H17" s="8">
        <v>2</v>
      </c>
      <c r="I17" s="5">
        <v>23</v>
      </c>
      <c r="J17" s="20">
        <f t="shared" si="0"/>
        <v>4.5999999999999996</v>
      </c>
      <c r="K17" s="4"/>
      <c r="L17" s="8">
        <f t="shared" si="1"/>
        <v>0</v>
      </c>
      <c r="M17" s="8"/>
      <c r="N17" s="22">
        <f t="shared" si="2"/>
        <v>19.600000000000001</v>
      </c>
    </row>
    <row r="18" spans="1:14" x14ac:dyDescent="0.25">
      <c r="A18" s="19">
        <v>13</v>
      </c>
      <c r="B18" s="8">
        <v>24032472</v>
      </c>
      <c r="C18" s="9" t="s">
        <v>33</v>
      </c>
      <c r="D18" s="3"/>
      <c r="E18" s="8">
        <v>3</v>
      </c>
      <c r="F18" s="8">
        <v>5</v>
      </c>
      <c r="G18" s="8">
        <v>5</v>
      </c>
      <c r="H18" s="8">
        <v>2</v>
      </c>
      <c r="I18" s="5">
        <v>30</v>
      </c>
      <c r="J18" s="20">
        <f t="shared" si="0"/>
        <v>6</v>
      </c>
      <c r="K18" s="20"/>
      <c r="L18" s="8">
        <f t="shared" si="1"/>
        <v>0</v>
      </c>
      <c r="M18" s="8"/>
      <c r="N18" s="22">
        <f t="shared" si="2"/>
        <v>21</v>
      </c>
    </row>
    <row r="19" spans="1:14" x14ac:dyDescent="0.25">
      <c r="A19" s="19">
        <v>14</v>
      </c>
      <c r="B19" s="8">
        <v>24032473</v>
      </c>
      <c r="C19" s="9" t="s">
        <v>34</v>
      </c>
      <c r="D19" s="3"/>
      <c r="E19" s="8">
        <v>3</v>
      </c>
      <c r="F19" s="8">
        <v>5</v>
      </c>
      <c r="G19" s="8">
        <v>5</v>
      </c>
      <c r="H19" s="8">
        <v>2</v>
      </c>
      <c r="I19" s="5">
        <v>23</v>
      </c>
      <c r="J19" s="20">
        <f t="shared" si="0"/>
        <v>4.5999999999999996</v>
      </c>
      <c r="K19" s="3"/>
      <c r="L19" s="8">
        <f t="shared" si="1"/>
        <v>0</v>
      </c>
      <c r="M19" s="3"/>
      <c r="N19" s="22">
        <f t="shared" si="2"/>
        <v>19.600000000000001</v>
      </c>
    </row>
    <row r="20" spans="1:14" x14ac:dyDescent="0.25">
      <c r="A20" s="19">
        <v>15</v>
      </c>
      <c r="B20" s="8">
        <v>24032474</v>
      </c>
      <c r="C20" s="9" t="s">
        <v>35</v>
      </c>
      <c r="D20" s="3"/>
      <c r="E20" s="8">
        <v>3</v>
      </c>
      <c r="F20" s="8">
        <v>5</v>
      </c>
      <c r="G20" s="8">
        <v>5</v>
      </c>
      <c r="H20" s="8">
        <v>2</v>
      </c>
      <c r="I20" s="5">
        <v>8</v>
      </c>
      <c r="J20" s="20">
        <f t="shared" si="0"/>
        <v>1.6</v>
      </c>
      <c r="K20" s="20"/>
      <c r="L20" s="8">
        <f t="shared" si="1"/>
        <v>0</v>
      </c>
      <c r="M20" s="8"/>
      <c r="N20" s="22">
        <f t="shared" si="2"/>
        <v>16.600000000000001</v>
      </c>
    </row>
    <row r="21" spans="1:14" x14ac:dyDescent="0.25">
      <c r="A21" s="19">
        <v>16</v>
      </c>
      <c r="B21" s="8">
        <v>24032475</v>
      </c>
      <c r="C21" s="9" t="s">
        <v>36</v>
      </c>
      <c r="D21" s="3"/>
      <c r="E21" s="8">
        <v>3</v>
      </c>
      <c r="F21" s="8">
        <v>5</v>
      </c>
      <c r="G21" s="8">
        <v>5</v>
      </c>
      <c r="H21" s="8">
        <v>2</v>
      </c>
      <c r="I21" s="5">
        <v>9</v>
      </c>
      <c r="J21" s="20">
        <f t="shared" si="0"/>
        <v>1.8</v>
      </c>
      <c r="K21" s="20"/>
      <c r="L21" s="8">
        <f t="shared" si="1"/>
        <v>0</v>
      </c>
      <c r="M21" s="8"/>
      <c r="N21" s="22">
        <f t="shared" si="2"/>
        <v>16.8</v>
      </c>
    </row>
    <row r="22" spans="1:14" x14ac:dyDescent="0.25">
      <c r="A22" s="19">
        <v>17</v>
      </c>
      <c r="B22" s="8">
        <v>24032476</v>
      </c>
      <c r="C22" s="9" t="s">
        <v>37</v>
      </c>
      <c r="D22" s="3"/>
      <c r="E22" s="8">
        <v>3</v>
      </c>
      <c r="F22" s="8">
        <v>5</v>
      </c>
      <c r="G22" s="8">
        <v>5</v>
      </c>
      <c r="H22" s="8">
        <v>2</v>
      </c>
      <c r="I22" s="5">
        <v>23</v>
      </c>
      <c r="J22" s="20">
        <f t="shared" si="0"/>
        <v>4.5999999999999996</v>
      </c>
      <c r="K22" s="20"/>
      <c r="L22" s="8">
        <f t="shared" si="1"/>
        <v>0</v>
      </c>
      <c r="M22" s="8"/>
      <c r="N22" s="22">
        <f t="shared" si="2"/>
        <v>19.600000000000001</v>
      </c>
    </row>
    <row r="23" spans="1:14" x14ac:dyDescent="0.25">
      <c r="A23" s="19">
        <v>18</v>
      </c>
      <c r="B23" s="8">
        <v>24032477</v>
      </c>
      <c r="C23" s="9" t="s">
        <v>38</v>
      </c>
      <c r="D23" s="3"/>
      <c r="E23" s="8">
        <v>3</v>
      </c>
      <c r="F23" s="8">
        <v>5</v>
      </c>
      <c r="G23" s="8">
        <v>5</v>
      </c>
      <c r="H23" s="8">
        <v>2</v>
      </c>
      <c r="I23" s="5">
        <v>34</v>
      </c>
      <c r="J23" s="20">
        <f t="shared" si="0"/>
        <v>6.8</v>
      </c>
      <c r="K23" s="20"/>
      <c r="L23" s="8">
        <f t="shared" si="1"/>
        <v>0</v>
      </c>
      <c r="M23" s="8"/>
      <c r="N23" s="22">
        <f t="shared" si="2"/>
        <v>21.8</v>
      </c>
    </row>
    <row r="24" spans="1:14" x14ac:dyDescent="0.25">
      <c r="A24" s="19">
        <v>19</v>
      </c>
      <c r="B24" s="8">
        <v>24032478</v>
      </c>
      <c r="C24" s="9" t="s">
        <v>39</v>
      </c>
      <c r="D24" s="3"/>
      <c r="E24" s="8">
        <v>3</v>
      </c>
      <c r="F24" s="8">
        <v>5</v>
      </c>
      <c r="G24" s="8">
        <v>5</v>
      </c>
      <c r="H24" s="8">
        <v>2</v>
      </c>
      <c r="I24" s="5">
        <v>24</v>
      </c>
      <c r="J24" s="20">
        <f t="shared" si="0"/>
        <v>4.8</v>
      </c>
      <c r="K24" s="23"/>
      <c r="L24" s="8">
        <f t="shared" si="1"/>
        <v>0</v>
      </c>
      <c r="M24" s="8"/>
      <c r="N24" s="22">
        <f t="shared" si="2"/>
        <v>19.8</v>
      </c>
    </row>
    <row r="25" spans="1:14" x14ac:dyDescent="0.25">
      <c r="A25" s="19">
        <v>20</v>
      </c>
      <c r="B25" s="8">
        <v>24032479</v>
      </c>
      <c r="C25" s="9" t="s">
        <v>40</v>
      </c>
      <c r="D25" s="3"/>
      <c r="E25" s="8">
        <v>3</v>
      </c>
      <c r="F25" s="8">
        <v>5</v>
      </c>
      <c r="G25" s="8">
        <v>5</v>
      </c>
      <c r="H25" s="8">
        <v>2</v>
      </c>
      <c r="I25" s="5">
        <v>4</v>
      </c>
      <c r="J25" s="20">
        <f t="shared" si="0"/>
        <v>0.8</v>
      </c>
      <c r="K25" s="3"/>
      <c r="L25" s="8">
        <f t="shared" si="1"/>
        <v>0</v>
      </c>
      <c r="M25" s="3"/>
      <c r="N25" s="22">
        <f t="shared" si="2"/>
        <v>15.8</v>
      </c>
    </row>
    <row r="26" spans="1:14" x14ac:dyDescent="0.25">
      <c r="A26" s="19">
        <v>21</v>
      </c>
      <c r="B26" s="8">
        <v>24032480</v>
      </c>
      <c r="C26" s="9" t="s">
        <v>41</v>
      </c>
      <c r="D26" s="3"/>
      <c r="E26" s="8">
        <v>3</v>
      </c>
      <c r="F26" s="8">
        <v>5</v>
      </c>
      <c r="G26" s="8">
        <v>5</v>
      </c>
      <c r="H26" s="8">
        <v>2</v>
      </c>
      <c r="I26" s="5">
        <v>14</v>
      </c>
      <c r="J26" s="20">
        <f t="shared" si="0"/>
        <v>2.8</v>
      </c>
      <c r="K26" s="3"/>
      <c r="L26" s="8">
        <f t="shared" si="1"/>
        <v>0</v>
      </c>
      <c r="M26" s="3"/>
      <c r="N26" s="22">
        <f t="shared" si="2"/>
        <v>17.8</v>
      </c>
    </row>
    <row r="27" spans="1:14" x14ac:dyDescent="0.25">
      <c r="A27" s="19">
        <v>22</v>
      </c>
      <c r="B27" s="8">
        <v>24032481</v>
      </c>
      <c r="C27" s="9" t="s">
        <v>42</v>
      </c>
      <c r="D27" s="3"/>
      <c r="E27" s="8">
        <v>3</v>
      </c>
      <c r="F27" s="8">
        <v>5</v>
      </c>
      <c r="G27" s="8">
        <v>5</v>
      </c>
      <c r="H27" s="8">
        <v>2</v>
      </c>
      <c r="I27" s="5">
        <v>30</v>
      </c>
      <c r="J27" s="20">
        <f t="shared" si="0"/>
        <v>6</v>
      </c>
      <c r="K27" s="20"/>
      <c r="L27" s="8">
        <f t="shared" si="1"/>
        <v>0</v>
      </c>
      <c r="M27" s="8"/>
      <c r="N27" s="22">
        <f t="shared" si="2"/>
        <v>21</v>
      </c>
    </row>
    <row r="28" spans="1:14" x14ac:dyDescent="0.25">
      <c r="A28" s="19">
        <v>23</v>
      </c>
      <c r="B28" s="8">
        <v>24032482</v>
      </c>
      <c r="C28" s="9" t="s">
        <v>43</v>
      </c>
      <c r="D28" s="3"/>
      <c r="E28" s="8">
        <v>3</v>
      </c>
      <c r="F28" s="8">
        <v>5</v>
      </c>
      <c r="G28" s="8">
        <v>5</v>
      </c>
      <c r="H28" s="8">
        <v>2</v>
      </c>
      <c r="I28" s="6">
        <v>38</v>
      </c>
      <c r="J28" s="20">
        <f t="shared" si="0"/>
        <v>7.6</v>
      </c>
      <c r="K28" s="23"/>
      <c r="L28" s="8">
        <f t="shared" si="1"/>
        <v>0</v>
      </c>
      <c r="M28" s="8"/>
      <c r="N28" s="22">
        <f t="shared" si="2"/>
        <v>22.6</v>
      </c>
    </row>
    <row r="29" spans="1:14" x14ac:dyDescent="0.25">
      <c r="A29" s="19">
        <v>24</v>
      </c>
      <c r="B29" s="8">
        <v>24032483</v>
      </c>
      <c r="C29" s="9" t="s">
        <v>44</v>
      </c>
      <c r="D29" s="3"/>
      <c r="E29" s="8">
        <v>3</v>
      </c>
      <c r="F29" s="8">
        <v>5</v>
      </c>
      <c r="G29" s="8">
        <v>5</v>
      </c>
      <c r="H29" s="8">
        <v>2</v>
      </c>
      <c r="I29" s="6">
        <v>36</v>
      </c>
      <c r="J29" s="20">
        <f t="shared" si="0"/>
        <v>7.2</v>
      </c>
      <c r="K29" s="4"/>
      <c r="L29" s="8">
        <f t="shared" si="1"/>
        <v>0</v>
      </c>
      <c r="M29" s="8"/>
      <c r="N29" s="22">
        <f t="shared" si="2"/>
        <v>22.2</v>
      </c>
    </row>
    <row r="30" spans="1:14" x14ac:dyDescent="0.25">
      <c r="A30" s="19">
        <v>25</v>
      </c>
      <c r="B30" s="8">
        <v>24032484</v>
      </c>
      <c r="C30" s="9" t="s">
        <v>45</v>
      </c>
      <c r="D30" s="3"/>
      <c r="E30" s="8">
        <v>3</v>
      </c>
      <c r="F30" s="8">
        <v>5</v>
      </c>
      <c r="G30" s="8">
        <v>5</v>
      </c>
      <c r="H30" s="8">
        <v>2</v>
      </c>
      <c r="I30" s="5">
        <v>18</v>
      </c>
      <c r="J30" s="20">
        <f t="shared" si="0"/>
        <v>3.6</v>
      </c>
      <c r="K30" s="20"/>
      <c r="L30" s="8">
        <f t="shared" si="1"/>
        <v>0</v>
      </c>
      <c r="M30" s="8"/>
      <c r="N30" s="22">
        <f t="shared" si="2"/>
        <v>18.600000000000001</v>
      </c>
    </row>
    <row r="31" spans="1:14" x14ac:dyDescent="0.25">
      <c r="A31" s="19">
        <v>26</v>
      </c>
      <c r="B31" s="8">
        <v>24032485</v>
      </c>
      <c r="C31" s="9" t="s">
        <v>46</v>
      </c>
      <c r="D31" s="3"/>
      <c r="E31" s="8">
        <v>3</v>
      </c>
      <c r="F31" s="8">
        <v>5</v>
      </c>
      <c r="G31" s="8">
        <v>5</v>
      </c>
      <c r="H31" s="8">
        <v>2</v>
      </c>
      <c r="I31" s="5">
        <v>16</v>
      </c>
      <c r="J31" s="20">
        <f t="shared" si="0"/>
        <v>3.2</v>
      </c>
      <c r="K31" s="23"/>
      <c r="L31" s="8">
        <f t="shared" si="1"/>
        <v>0</v>
      </c>
      <c r="M31" s="8"/>
      <c r="N31" s="22">
        <f t="shared" si="2"/>
        <v>18.2</v>
      </c>
    </row>
    <row r="32" spans="1:14" x14ac:dyDescent="0.25">
      <c r="A32" s="19">
        <v>27</v>
      </c>
      <c r="B32" s="26">
        <v>24032486</v>
      </c>
      <c r="C32" s="27" t="s">
        <v>47</v>
      </c>
      <c r="D32" s="3"/>
      <c r="E32" s="8">
        <v>3</v>
      </c>
      <c r="F32" s="8">
        <v>5</v>
      </c>
      <c r="G32" s="8">
        <v>5</v>
      </c>
      <c r="H32" s="8">
        <v>2</v>
      </c>
      <c r="I32" s="5">
        <v>35</v>
      </c>
      <c r="J32" s="20">
        <f t="shared" si="0"/>
        <v>7</v>
      </c>
      <c r="K32" s="4"/>
      <c r="L32" s="8">
        <f t="shared" si="1"/>
        <v>0</v>
      </c>
      <c r="M32" s="8"/>
      <c r="N32" s="22">
        <f t="shared" si="2"/>
        <v>22</v>
      </c>
    </row>
    <row r="33" spans="1:14" x14ac:dyDescent="0.25">
      <c r="A33" s="19">
        <v>28</v>
      </c>
      <c r="B33" s="8">
        <v>24032487</v>
      </c>
      <c r="C33" s="9" t="s">
        <v>48</v>
      </c>
      <c r="D33" s="3"/>
      <c r="E33" s="8">
        <v>3</v>
      </c>
      <c r="F33" s="8">
        <v>5</v>
      </c>
      <c r="G33" s="8">
        <v>5</v>
      </c>
      <c r="H33" s="8">
        <v>2</v>
      </c>
      <c r="I33" s="5">
        <v>39</v>
      </c>
      <c r="J33" s="20">
        <f t="shared" si="0"/>
        <v>7.8</v>
      </c>
      <c r="K33" s="4"/>
      <c r="L33" s="8">
        <f t="shared" si="1"/>
        <v>0</v>
      </c>
      <c r="M33" s="8"/>
      <c r="N33" s="22">
        <f t="shared" si="2"/>
        <v>22.8</v>
      </c>
    </row>
    <row r="34" spans="1:14" x14ac:dyDescent="0.25">
      <c r="A34" s="19">
        <v>29</v>
      </c>
      <c r="B34" s="31">
        <v>24032488</v>
      </c>
      <c r="C34" s="9" t="s">
        <v>49</v>
      </c>
      <c r="D34" s="3"/>
      <c r="E34" s="8">
        <v>3</v>
      </c>
      <c r="F34" s="8">
        <v>5</v>
      </c>
      <c r="G34" s="8">
        <v>5</v>
      </c>
      <c r="H34" s="8">
        <v>2</v>
      </c>
      <c r="I34" s="5">
        <v>39</v>
      </c>
      <c r="J34" s="20">
        <f t="shared" si="0"/>
        <v>7.8</v>
      </c>
      <c r="K34" s="4"/>
      <c r="L34" s="8">
        <f t="shared" si="1"/>
        <v>0</v>
      </c>
      <c r="M34" s="8"/>
      <c r="N34" s="22">
        <f t="shared" si="2"/>
        <v>22.8</v>
      </c>
    </row>
    <row r="35" spans="1:14" x14ac:dyDescent="0.25">
      <c r="A35" s="19">
        <v>30</v>
      </c>
      <c r="B35" s="31">
        <v>24032489</v>
      </c>
      <c r="C35" s="9" t="s">
        <v>50</v>
      </c>
      <c r="D35" s="3"/>
      <c r="E35" s="8">
        <v>3</v>
      </c>
      <c r="F35" s="8">
        <v>5</v>
      </c>
      <c r="G35" s="8">
        <v>5</v>
      </c>
      <c r="H35" s="8">
        <v>2</v>
      </c>
      <c r="I35" s="5">
        <v>24</v>
      </c>
      <c r="J35" s="20">
        <f t="shared" si="0"/>
        <v>4.8</v>
      </c>
      <c r="K35" s="4"/>
      <c r="L35" s="8">
        <f t="shared" si="1"/>
        <v>0</v>
      </c>
      <c r="M35" s="8"/>
      <c r="N35" s="22">
        <f t="shared" si="2"/>
        <v>19.8</v>
      </c>
    </row>
    <row r="36" spans="1:14" x14ac:dyDescent="0.25">
      <c r="A36" s="19">
        <v>31</v>
      </c>
      <c r="B36" s="31">
        <v>24032490</v>
      </c>
      <c r="C36" s="9" t="s">
        <v>51</v>
      </c>
      <c r="D36" s="3"/>
      <c r="E36" s="8">
        <v>3</v>
      </c>
      <c r="F36" s="8">
        <v>5</v>
      </c>
      <c r="G36" s="8">
        <v>5</v>
      </c>
      <c r="H36" s="8">
        <v>2</v>
      </c>
      <c r="I36" s="5">
        <v>19</v>
      </c>
      <c r="J36" s="20">
        <f t="shared" si="0"/>
        <v>3.8</v>
      </c>
      <c r="K36" s="23"/>
      <c r="L36" s="8">
        <f t="shared" si="1"/>
        <v>0</v>
      </c>
      <c r="M36" s="8"/>
      <c r="N36" s="22">
        <f t="shared" si="2"/>
        <v>18.8</v>
      </c>
    </row>
    <row r="37" spans="1:14" x14ac:dyDescent="0.25">
      <c r="A37" s="19">
        <v>32</v>
      </c>
      <c r="B37" s="31">
        <v>24032491</v>
      </c>
      <c r="C37" s="9" t="s">
        <v>52</v>
      </c>
      <c r="D37" s="3"/>
      <c r="E37" s="8">
        <v>3</v>
      </c>
      <c r="F37" s="8">
        <v>5</v>
      </c>
      <c r="G37" s="8">
        <v>5</v>
      </c>
      <c r="H37" s="8">
        <v>2</v>
      </c>
      <c r="I37" s="5">
        <v>25</v>
      </c>
      <c r="J37" s="20">
        <f t="shared" si="0"/>
        <v>5</v>
      </c>
      <c r="K37" s="20"/>
      <c r="L37" s="8">
        <f t="shared" si="1"/>
        <v>0</v>
      </c>
      <c r="M37" s="8"/>
      <c r="N37" s="22">
        <f t="shared" si="2"/>
        <v>20</v>
      </c>
    </row>
    <row r="38" spans="1:14" x14ac:dyDescent="0.25">
      <c r="A38" s="19">
        <v>33</v>
      </c>
      <c r="B38" s="31">
        <v>24032492</v>
      </c>
      <c r="C38" s="9" t="s">
        <v>53</v>
      </c>
      <c r="D38" s="3"/>
      <c r="E38" s="8">
        <v>3</v>
      </c>
      <c r="F38" s="8">
        <v>5</v>
      </c>
      <c r="G38" s="8">
        <v>5</v>
      </c>
      <c r="H38" s="8">
        <v>2</v>
      </c>
      <c r="I38" s="5">
        <v>40</v>
      </c>
      <c r="J38" s="20">
        <f t="shared" si="0"/>
        <v>8</v>
      </c>
      <c r="K38" s="3"/>
      <c r="L38" s="8">
        <f t="shared" si="1"/>
        <v>0</v>
      </c>
      <c r="M38" s="8"/>
      <c r="N38" s="22">
        <f t="shared" si="2"/>
        <v>23</v>
      </c>
    </row>
    <row r="39" spans="1:14" x14ac:dyDescent="0.25">
      <c r="A39" s="19">
        <v>34</v>
      </c>
      <c r="B39" s="31">
        <v>24032493</v>
      </c>
      <c r="C39" s="9" t="s">
        <v>54</v>
      </c>
      <c r="D39" s="3"/>
      <c r="E39" s="8">
        <v>3</v>
      </c>
      <c r="F39" s="8">
        <v>5</v>
      </c>
      <c r="G39" s="8">
        <v>5</v>
      </c>
      <c r="H39" s="8">
        <v>2</v>
      </c>
      <c r="I39" s="5">
        <v>25</v>
      </c>
      <c r="J39" s="20">
        <f t="shared" si="0"/>
        <v>5</v>
      </c>
      <c r="K39" s="3"/>
      <c r="L39" s="8">
        <f t="shared" si="1"/>
        <v>0</v>
      </c>
      <c r="M39" s="8"/>
      <c r="N39" s="22">
        <f t="shared" si="2"/>
        <v>20</v>
      </c>
    </row>
    <row r="40" spans="1:14" x14ac:dyDescent="0.25">
      <c r="A40" s="19">
        <v>35</v>
      </c>
      <c r="B40" s="31">
        <v>24032494</v>
      </c>
      <c r="C40" s="9" t="s">
        <v>55</v>
      </c>
      <c r="D40" s="3"/>
      <c r="E40" s="8">
        <v>3</v>
      </c>
      <c r="F40" s="8">
        <v>5</v>
      </c>
      <c r="G40" s="8">
        <v>5</v>
      </c>
      <c r="H40" s="8">
        <v>2</v>
      </c>
      <c r="I40" s="8" t="s">
        <v>68</v>
      </c>
      <c r="J40" s="20" t="e">
        <f t="shared" si="0"/>
        <v>#VALUE!</v>
      </c>
      <c r="K40" s="3"/>
      <c r="L40" s="8">
        <f t="shared" si="1"/>
        <v>0</v>
      </c>
      <c r="M40" s="8"/>
      <c r="N40" s="22" t="e">
        <f t="shared" si="2"/>
        <v>#VALUE!</v>
      </c>
    </row>
    <row r="41" spans="1:14" x14ac:dyDescent="0.25">
      <c r="A41" s="19">
        <v>36</v>
      </c>
      <c r="B41" s="31">
        <v>24032495</v>
      </c>
      <c r="C41" s="9" t="s">
        <v>56</v>
      </c>
      <c r="D41" s="3"/>
      <c r="E41" s="8">
        <v>3</v>
      </c>
      <c r="F41" s="8">
        <v>5</v>
      </c>
      <c r="G41" s="8">
        <v>5</v>
      </c>
      <c r="H41" s="8">
        <v>2</v>
      </c>
      <c r="I41" s="5">
        <v>31</v>
      </c>
      <c r="J41" s="20">
        <f t="shared" si="0"/>
        <v>6.2</v>
      </c>
      <c r="K41" s="3"/>
      <c r="L41" s="8">
        <f t="shared" si="1"/>
        <v>0</v>
      </c>
      <c r="M41" s="8"/>
      <c r="N41" s="22">
        <f t="shared" si="2"/>
        <v>21.2</v>
      </c>
    </row>
    <row r="42" spans="1:14" x14ac:dyDescent="0.25">
      <c r="A42" s="19">
        <v>37</v>
      </c>
      <c r="B42" s="31">
        <v>24032496</v>
      </c>
      <c r="C42" s="9" t="s">
        <v>57</v>
      </c>
      <c r="D42" s="3"/>
      <c r="E42" s="8">
        <v>3</v>
      </c>
      <c r="F42" s="8">
        <v>5</v>
      </c>
      <c r="G42" s="8">
        <v>5</v>
      </c>
      <c r="H42" s="8">
        <v>2</v>
      </c>
      <c r="I42" s="5">
        <v>4</v>
      </c>
      <c r="J42" s="20">
        <f t="shared" si="0"/>
        <v>0.8</v>
      </c>
      <c r="K42" s="3"/>
      <c r="L42" s="8">
        <f t="shared" si="1"/>
        <v>0</v>
      </c>
      <c r="M42" s="8"/>
      <c r="N42" s="22">
        <f t="shared" si="2"/>
        <v>15.8</v>
      </c>
    </row>
    <row r="43" spans="1:14" x14ac:dyDescent="0.25">
      <c r="A43" s="19">
        <v>38</v>
      </c>
      <c r="B43" s="31">
        <v>24032497</v>
      </c>
      <c r="C43" s="9" t="s">
        <v>58</v>
      </c>
      <c r="D43" s="3"/>
      <c r="E43" s="8">
        <v>3</v>
      </c>
      <c r="F43" s="8">
        <v>5</v>
      </c>
      <c r="G43" s="8">
        <v>5</v>
      </c>
      <c r="H43" s="8">
        <v>2</v>
      </c>
      <c r="I43" s="5">
        <v>38</v>
      </c>
      <c r="J43" s="20">
        <f t="shared" si="0"/>
        <v>7.6</v>
      </c>
      <c r="K43" s="3"/>
      <c r="L43" s="8">
        <f t="shared" si="1"/>
        <v>0</v>
      </c>
      <c r="M43" s="8"/>
      <c r="N43" s="22">
        <f t="shared" si="2"/>
        <v>22.6</v>
      </c>
    </row>
    <row r="44" spans="1:14" x14ac:dyDescent="0.25">
      <c r="A44" s="19">
        <v>39</v>
      </c>
      <c r="B44" s="31">
        <v>24032498</v>
      </c>
      <c r="C44" s="9" t="s">
        <v>59</v>
      </c>
      <c r="D44" s="3"/>
      <c r="E44" s="8">
        <v>3</v>
      </c>
      <c r="F44" s="8">
        <v>5</v>
      </c>
      <c r="G44" s="8">
        <v>5</v>
      </c>
      <c r="H44" s="8">
        <v>2</v>
      </c>
      <c r="I44" s="5">
        <v>2</v>
      </c>
      <c r="J44" s="20">
        <f t="shared" si="0"/>
        <v>0.4</v>
      </c>
      <c r="K44" s="3"/>
      <c r="L44" s="8">
        <f t="shared" si="1"/>
        <v>0</v>
      </c>
      <c r="M44" s="8"/>
      <c r="N44" s="22">
        <f t="shared" si="2"/>
        <v>15.4</v>
      </c>
    </row>
    <row r="45" spans="1:14" x14ac:dyDescent="0.25">
      <c r="A45" s="19">
        <v>40</v>
      </c>
      <c r="B45" s="31">
        <v>24032499</v>
      </c>
      <c r="C45" s="9" t="s">
        <v>60</v>
      </c>
      <c r="D45" s="3"/>
      <c r="E45" s="8">
        <v>3</v>
      </c>
      <c r="F45" s="8">
        <v>5</v>
      </c>
      <c r="G45" s="8">
        <v>5</v>
      </c>
      <c r="H45" s="8">
        <v>2</v>
      </c>
      <c r="I45" s="8">
        <v>36</v>
      </c>
      <c r="J45" s="20">
        <f t="shared" si="0"/>
        <v>7.2</v>
      </c>
      <c r="K45" s="3"/>
      <c r="L45" s="8">
        <f t="shared" si="1"/>
        <v>0</v>
      </c>
      <c r="M45" s="8"/>
      <c r="N45" s="22">
        <f t="shared" si="2"/>
        <v>22.2</v>
      </c>
    </row>
    <row r="46" spans="1:14" x14ac:dyDescent="0.25">
      <c r="A46" s="19">
        <v>41</v>
      </c>
      <c r="B46" s="31">
        <v>24032500</v>
      </c>
      <c r="C46" s="9" t="s">
        <v>61</v>
      </c>
      <c r="D46" s="3"/>
      <c r="E46" s="8">
        <v>3</v>
      </c>
      <c r="F46" s="8">
        <v>5</v>
      </c>
      <c r="G46" s="8">
        <v>5</v>
      </c>
      <c r="H46" s="8">
        <v>2</v>
      </c>
      <c r="I46" s="5">
        <v>26</v>
      </c>
      <c r="J46" s="20">
        <f t="shared" si="0"/>
        <v>5.2</v>
      </c>
      <c r="K46" s="3"/>
      <c r="L46" s="8">
        <f t="shared" si="1"/>
        <v>0</v>
      </c>
      <c r="M46" s="8"/>
      <c r="N46" s="22">
        <f t="shared" si="2"/>
        <v>20.2</v>
      </c>
    </row>
    <row r="47" spans="1:14" x14ac:dyDescent="0.25">
      <c r="A47" s="19">
        <v>42</v>
      </c>
      <c r="B47" s="31">
        <v>24032501</v>
      </c>
      <c r="C47" s="9" t="s">
        <v>62</v>
      </c>
      <c r="D47" s="3"/>
      <c r="E47" s="8">
        <v>3</v>
      </c>
      <c r="F47" s="8">
        <v>5</v>
      </c>
      <c r="G47" s="8">
        <v>5</v>
      </c>
      <c r="H47" s="8">
        <v>2</v>
      </c>
      <c r="I47" s="5">
        <v>23</v>
      </c>
      <c r="J47" s="20">
        <f t="shared" si="0"/>
        <v>4.5999999999999996</v>
      </c>
      <c r="K47" s="3"/>
      <c r="L47" s="8">
        <f t="shared" si="1"/>
        <v>0</v>
      </c>
      <c r="M47" s="8"/>
      <c r="N47" s="22">
        <f t="shared" si="2"/>
        <v>19.600000000000001</v>
      </c>
    </row>
    <row r="48" spans="1:14" x14ac:dyDescent="0.25">
      <c r="A48" s="19">
        <v>43</v>
      </c>
      <c r="B48" s="31">
        <v>24032502</v>
      </c>
      <c r="C48" s="9" t="s">
        <v>63</v>
      </c>
      <c r="D48" s="3"/>
      <c r="E48" s="8">
        <v>3</v>
      </c>
      <c r="F48" s="8">
        <v>5</v>
      </c>
      <c r="G48" s="8">
        <v>5</v>
      </c>
      <c r="H48" s="8">
        <v>2</v>
      </c>
      <c r="I48" s="3">
        <v>31</v>
      </c>
      <c r="J48" s="20">
        <f t="shared" si="0"/>
        <v>6.2</v>
      </c>
      <c r="K48" s="3"/>
      <c r="L48" s="8">
        <f t="shared" si="1"/>
        <v>0</v>
      </c>
      <c r="M48" s="8"/>
      <c r="N48" s="22">
        <f t="shared" si="2"/>
        <v>21.2</v>
      </c>
    </row>
    <row r="49" spans="1:14" x14ac:dyDescent="0.25">
      <c r="A49" s="19">
        <v>44</v>
      </c>
      <c r="B49" s="31">
        <v>24032503</v>
      </c>
      <c r="C49" s="9" t="s">
        <v>65</v>
      </c>
      <c r="D49" s="3"/>
      <c r="E49" s="8"/>
      <c r="F49" s="8"/>
      <c r="G49" s="8"/>
      <c r="H49" s="8"/>
      <c r="I49" s="3" t="s">
        <v>68</v>
      </c>
      <c r="J49" s="20"/>
      <c r="K49" s="3"/>
      <c r="L49" s="8"/>
      <c r="M49" s="8"/>
      <c r="N49" s="22"/>
    </row>
    <row r="50" spans="1:14" x14ac:dyDescent="0.25">
      <c r="A50" s="19">
        <v>45</v>
      </c>
      <c r="B50" s="31">
        <v>24032504</v>
      </c>
      <c r="C50" s="9" t="s">
        <v>64</v>
      </c>
      <c r="D50" s="3"/>
      <c r="E50" s="8">
        <v>3</v>
      </c>
      <c r="F50" s="8">
        <v>5</v>
      </c>
      <c r="G50" s="8">
        <v>5</v>
      </c>
      <c r="H50" s="8">
        <v>2</v>
      </c>
      <c r="I50" s="3">
        <v>7</v>
      </c>
      <c r="J50" s="20">
        <f t="shared" si="0"/>
        <v>1.4</v>
      </c>
      <c r="K50" s="3"/>
      <c r="L50" s="8">
        <f t="shared" si="1"/>
        <v>0</v>
      </c>
      <c r="M50" s="8"/>
      <c r="N50" s="22">
        <f t="shared" si="2"/>
        <v>16.399999999999999</v>
      </c>
    </row>
  </sheetData>
  <mergeCells count="5">
    <mergeCell ref="A1:N1"/>
    <mergeCell ref="A2:N2"/>
    <mergeCell ref="A3:N3"/>
    <mergeCell ref="A4:B4"/>
    <mergeCell ref="C4:E4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0"/>
  <sheetViews>
    <sheetView topLeftCell="C1" workbookViewId="0">
      <selection activeCell="H5" sqref="H5"/>
    </sheetView>
  </sheetViews>
  <sheetFormatPr defaultRowHeight="15" x14ac:dyDescent="0.25"/>
  <cols>
    <col min="2" max="2" width="11" customWidth="1"/>
    <col min="3" max="3" width="18" customWidth="1"/>
    <col min="4" max="4" width="14.7109375" customWidth="1"/>
    <col min="8" max="8" width="13.28515625" customWidth="1"/>
    <col min="9" max="9" width="12.85546875" customWidth="1"/>
    <col min="10" max="10" width="13" customWidth="1"/>
    <col min="11" max="11" width="14.42578125" customWidth="1"/>
    <col min="12" max="12" width="18.85546875" customWidth="1"/>
    <col min="14" max="14" width="30.5703125" customWidth="1"/>
  </cols>
  <sheetData>
    <row r="1" spans="1:14" x14ac:dyDescent="0.25">
      <c r="A1" s="43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</row>
    <row r="2" spans="1:14" x14ac:dyDescent="0.25">
      <c r="A2" s="43" t="s">
        <v>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</row>
    <row r="3" spans="1:14" x14ac:dyDescent="0.25">
      <c r="A3" s="44" t="s">
        <v>20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</row>
    <row r="4" spans="1:14" ht="15.75" thickBot="1" x14ac:dyDescent="0.3">
      <c r="A4" s="45" t="s">
        <v>18</v>
      </c>
      <c r="B4" s="46"/>
      <c r="C4" s="47" t="s">
        <v>19</v>
      </c>
      <c r="D4" s="48"/>
      <c r="E4" s="48"/>
      <c r="F4" s="12" t="s">
        <v>71</v>
      </c>
      <c r="G4" s="10"/>
      <c r="H4" s="13"/>
      <c r="I4" s="10"/>
      <c r="J4" s="10"/>
      <c r="K4" s="10"/>
      <c r="L4" s="14" t="s">
        <v>2</v>
      </c>
      <c r="M4" s="10"/>
      <c r="N4" s="10"/>
    </row>
    <row r="5" spans="1:14" ht="39" thickBot="1" x14ac:dyDescent="0.3">
      <c r="A5" s="15" t="s">
        <v>3</v>
      </c>
      <c r="B5" s="2" t="s">
        <v>4</v>
      </c>
      <c r="C5" s="2" t="s">
        <v>5</v>
      </c>
      <c r="D5" s="16" t="s">
        <v>66</v>
      </c>
      <c r="E5" s="16" t="s">
        <v>6</v>
      </c>
      <c r="F5" s="16" t="s">
        <v>7</v>
      </c>
      <c r="G5" s="16" t="s">
        <v>8</v>
      </c>
      <c r="H5" s="16" t="s">
        <v>9</v>
      </c>
      <c r="I5" s="16" t="s">
        <v>10</v>
      </c>
      <c r="J5" s="17" t="s">
        <v>11</v>
      </c>
      <c r="K5" s="2" t="s">
        <v>12</v>
      </c>
      <c r="L5" s="18" t="s">
        <v>13</v>
      </c>
      <c r="M5" s="16" t="s">
        <v>14</v>
      </c>
      <c r="N5" s="16" t="s">
        <v>15</v>
      </c>
    </row>
    <row r="6" spans="1:14" x14ac:dyDescent="0.25">
      <c r="A6" s="19">
        <v>1</v>
      </c>
      <c r="B6" s="8">
        <v>24032460</v>
      </c>
      <c r="C6" s="9" t="s">
        <v>21</v>
      </c>
      <c r="D6" s="3"/>
      <c r="E6" s="8">
        <v>3</v>
      </c>
      <c r="F6" s="8">
        <v>5</v>
      </c>
      <c r="G6" s="8">
        <v>5</v>
      </c>
      <c r="H6" s="8">
        <v>2</v>
      </c>
      <c r="I6" s="5">
        <v>32</v>
      </c>
      <c r="J6" s="20">
        <f>I6/5</f>
        <v>6.4</v>
      </c>
      <c r="K6" s="21"/>
      <c r="L6" s="8">
        <f>K6/4</f>
        <v>0</v>
      </c>
      <c r="M6" s="8"/>
      <c r="N6" s="22">
        <f>E6+F6+G6+H6+J6+L6+M6</f>
        <v>21.4</v>
      </c>
    </row>
    <row r="7" spans="1:14" x14ac:dyDescent="0.25">
      <c r="A7" s="19">
        <v>2</v>
      </c>
      <c r="B7" s="8">
        <v>24032461</v>
      </c>
      <c r="C7" s="9" t="s">
        <v>22</v>
      </c>
      <c r="D7" s="3"/>
      <c r="E7" s="8">
        <v>3</v>
      </c>
      <c r="F7" s="8">
        <v>5</v>
      </c>
      <c r="G7" s="8">
        <v>5</v>
      </c>
      <c r="H7" s="8">
        <v>2</v>
      </c>
      <c r="I7" s="5">
        <v>25</v>
      </c>
      <c r="J7" s="20">
        <f t="shared" ref="J7:J50" si="0">I7/5</f>
        <v>5</v>
      </c>
      <c r="K7" s="23"/>
      <c r="L7" s="8">
        <f t="shared" ref="L7:L48" si="1">K7/5</f>
        <v>0</v>
      </c>
      <c r="M7" s="8"/>
      <c r="N7" s="22">
        <f t="shared" ref="N7:N50" si="2">E7+F7+G7+H7+J7+L7+M7</f>
        <v>20</v>
      </c>
    </row>
    <row r="8" spans="1:14" x14ac:dyDescent="0.25">
      <c r="A8" s="19">
        <v>3</v>
      </c>
      <c r="B8" s="8">
        <v>24032462</v>
      </c>
      <c r="C8" s="9" t="s">
        <v>23</v>
      </c>
      <c r="D8" s="3"/>
      <c r="E8" s="8">
        <v>3</v>
      </c>
      <c r="F8" s="8">
        <v>5</v>
      </c>
      <c r="G8" s="8">
        <v>5</v>
      </c>
      <c r="H8" s="8">
        <v>2</v>
      </c>
      <c r="I8" s="5">
        <v>30</v>
      </c>
      <c r="J8" s="20">
        <f t="shared" si="0"/>
        <v>6</v>
      </c>
      <c r="K8" s="20"/>
      <c r="L8" s="8">
        <f t="shared" si="1"/>
        <v>0</v>
      </c>
      <c r="M8" s="8"/>
      <c r="N8" s="22">
        <f t="shared" si="2"/>
        <v>21</v>
      </c>
    </row>
    <row r="9" spans="1:14" x14ac:dyDescent="0.25">
      <c r="A9" s="19">
        <v>4</v>
      </c>
      <c r="B9" s="8">
        <v>24032463</v>
      </c>
      <c r="C9" s="9" t="s">
        <v>24</v>
      </c>
      <c r="D9" s="3"/>
      <c r="E9" s="8">
        <v>3</v>
      </c>
      <c r="F9" s="8">
        <v>5</v>
      </c>
      <c r="G9" s="8">
        <v>5</v>
      </c>
      <c r="H9" s="8">
        <v>2</v>
      </c>
      <c r="I9" s="5" t="s">
        <v>68</v>
      </c>
      <c r="J9" s="20" t="e">
        <f t="shared" si="0"/>
        <v>#VALUE!</v>
      </c>
      <c r="K9" s="24"/>
      <c r="L9" s="8">
        <f t="shared" si="1"/>
        <v>0</v>
      </c>
      <c r="M9" s="8"/>
      <c r="N9" s="22" t="e">
        <f t="shared" si="2"/>
        <v>#VALUE!</v>
      </c>
    </row>
    <row r="10" spans="1:14" x14ac:dyDescent="0.25">
      <c r="A10" s="19">
        <v>5</v>
      </c>
      <c r="B10" s="8">
        <v>24032464</v>
      </c>
      <c r="C10" s="9" t="s">
        <v>25</v>
      </c>
      <c r="D10" s="3"/>
      <c r="E10" s="8">
        <v>3</v>
      </c>
      <c r="F10" s="8">
        <v>5</v>
      </c>
      <c r="G10" s="8">
        <v>5</v>
      </c>
      <c r="H10" s="8">
        <v>2</v>
      </c>
      <c r="I10" s="5" t="s">
        <v>68</v>
      </c>
      <c r="J10" s="20" t="e">
        <f t="shared" si="0"/>
        <v>#VALUE!</v>
      </c>
      <c r="K10" s="24"/>
      <c r="L10" s="8">
        <f t="shared" si="1"/>
        <v>0</v>
      </c>
      <c r="M10" s="8"/>
      <c r="N10" s="22" t="e">
        <f t="shared" si="2"/>
        <v>#VALUE!</v>
      </c>
    </row>
    <row r="11" spans="1:14" x14ac:dyDescent="0.25">
      <c r="A11" s="19">
        <v>6</v>
      </c>
      <c r="B11" s="8">
        <v>24032465</v>
      </c>
      <c r="C11" s="9" t="s">
        <v>26</v>
      </c>
      <c r="D11" s="3"/>
      <c r="E11" s="8">
        <v>3</v>
      </c>
      <c r="F11" s="8">
        <v>5</v>
      </c>
      <c r="G11" s="8">
        <v>5</v>
      </c>
      <c r="H11" s="8">
        <v>2</v>
      </c>
      <c r="I11" s="5" t="s">
        <v>68</v>
      </c>
      <c r="J11" s="20" t="e">
        <f t="shared" si="0"/>
        <v>#VALUE!</v>
      </c>
      <c r="K11" s="23"/>
      <c r="L11" s="8">
        <f t="shared" si="1"/>
        <v>0</v>
      </c>
      <c r="M11" s="8"/>
      <c r="N11" s="22" t="e">
        <f t="shared" si="2"/>
        <v>#VALUE!</v>
      </c>
    </row>
    <row r="12" spans="1:14" x14ac:dyDescent="0.25">
      <c r="A12" s="19">
        <v>7</v>
      </c>
      <c r="B12" s="8">
        <v>24032466</v>
      </c>
      <c r="C12" s="9" t="s">
        <v>27</v>
      </c>
      <c r="D12" s="3"/>
      <c r="E12" s="8">
        <v>3</v>
      </c>
      <c r="F12" s="8">
        <v>5</v>
      </c>
      <c r="G12" s="8">
        <v>5</v>
      </c>
      <c r="H12" s="8">
        <v>2</v>
      </c>
      <c r="I12" s="5">
        <v>3</v>
      </c>
      <c r="J12" s="20">
        <f t="shared" si="0"/>
        <v>0.6</v>
      </c>
      <c r="K12" s="20"/>
      <c r="L12" s="8">
        <f t="shared" si="1"/>
        <v>0</v>
      </c>
      <c r="M12" s="8"/>
      <c r="N12" s="22">
        <f t="shared" si="2"/>
        <v>15.6</v>
      </c>
    </row>
    <row r="13" spans="1:14" x14ac:dyDescent="0.25">
      <c r="A13" s="19">
        <v>8</v>
      </c>
      <c r="B13" s="8">
        <v>24032467</v>
      </c>
      <c r="C13" s="9" t="s">
        <v>28</v>
      </c>
      <c r="D13" s="3"/>
      <c r="E13" s="8">
        <v>3</v>
      </c>
      <c r="F13" s="8">
        <v>5</v>
      </c>
      <c r="G13" s="8">
        <v>5</v>
      </c>
      <c r="H13" s="8">
        <v>2</v>
      </c>
      <c r="I13" s="5" t="s">
        <v>68</v>
      </c>
      <c r="J13" s="20" t="e">
        <f t="shared" si="0"/>
        <v>#VALUE!</v>
      </c>
      <c r="K13" s="25"/>
      <c r="L13" s="8">
        <f t="shared" si="1"/>
        <v>0</v>
      </c>
      <c r="M13" s="8"/>
      <c r="N13" s="22" t="e">
        <f t="shared" si="2"/>
        <v>#VALUE!</v>
      </c>
    </row>
    <row r="14" spans="1:14" x14ac:dyDescent="0.25">
      <c r="A14" s="19">
        <v>9</v>
      </c>
      <c r="B14" s="8">
        <v>24032468</v>
      </c>
      <c r="C14" s="9" t="s">
        <v>29</v>
      </c>
      <c r="D14" s="3"/>
      <c r="E14" s="8">
        <v>3</v>
      </c>
      <c r="F14" s="8">
        <v>5</v>
      </c>
      <c r="G14" s="8">
        <v>5</v>
      </c>
      <c r="H14" s="8">
        <v>2</v>
      </c>
      <c r="I14" s="5">
        <v>10</v>
      </c>
      <c r="J14" s="20">
        <f t="shared" si="0"/>
        <v>2</v>
      </c>
      <c r="K14" s="20"/>
      <c r="L14" s="8">
        <f t="shared" si="1"/>
        <v>0</v>
      </c>
      <c r="M14" s="8"/>
      <c r="N14" s="22">
        <f t="shared" si="2"/>
        <v>17</v>
      </c>
    </row>
    <row r="15" spans="1:14" x14ac:dyDescent="0.25">
      <c r="A15" s="19">
        <v>10</v>
      </c>
      <c r="B15" s="8">
        <v>24032469</v>
      </c>
      <c r="C15" s="9" t="s">
        <v>30</v>
      </c>
      <c r="D15" s="3"/>
      <c r="E15" s="8">
        <v>3</v>
      </c>
      <c r="F15" s="8">
        <v>5</v>
      </c>
      <c r="G15" s="8">
        <v>5</v>
      </c>
      <c r="H15" s="8">
        <v>2</v>
      </c>
      <c r="I15" s="5">
        <v>7</v>
      </c>
      <c r="J15" s="20">
        <f t="shared" si="0"/>
        <v>1.4</v>
      </c>
      <c r="K15" s="20"/>
      <c r="L15" s="8">
        <f t="shared" si="1"/>
        <v>0</v>
      </c>
      <c r="M15" s="8"/>
      <c r="N15" s="22">
        <f t="shared" si="2"/>
        <v>16.399999999999999</v>
      </c>
    </row>
    <row r="16" spans="1:14" x14ac:dyDescent="0.25">
      <c r="A16" s="19">
        <v>11</v>
      </c>
      <c r="B16" s="8">
        <v>24032470</v>
      </c>
      <c r="C16" s="9" t="s">
        <v>31</v>
      </c>
      <c r="D16" s="3"/>
      <c r="E16" s="8">
        <v>3</v>
      </c>
      <c r="F16" s="8">
        <v>5</v>
      </c>
      <c r="G16" s="8">
        <v>5</v>
      </c>
      <c r="H16" s="8">
        <v>2</v>
      </c>
      <c r="I16" s="5">
        <v>8</v>
      </c>
      <c r="J16" s="20">
        <f t="shared" si="0"/>
        <v>1.6</v>
      </c>
      <c r="K16" s="3"/>
      <c r="L16" s="8">
        <f t="shared" si="1"/>
        <v>0</v>
      </c>
      <c r="M16" s="3"/>
      <c r="N16" s="22">
        <f t="shared" si="2"/>
        <v>16.600000000000001</v>
      </c>
    </row>
    <row r="17" spans="1:14" x14ac:dyDescent="0.25">
      <c r="A17" s="19">
        <v>12</v>
      </c>
      <c r="B17" s="8">
        <v>24032471</v>
      </c>
      <c r="C17" s="9" t="s">
        <v>32</v>
      </c>
      <c r="D17" s="3"/>
      <c r="E17" s="8">
        <v>3</v>
      </c>
      <c r="F17" s="8">
        <v>5</v>
      </c>
      <c r="G17" s="8">
        <v>5</v>
      </c>
      <c r="H17" s="8">
        <v>2</v>
      </c>
      <c r="I17" s="5">
        <v>10</v>
      </c>
      <c r="J17" s="20">
        <f t="shared" si="0"/>
        <v>2</v>
      </c>
      <c r="K17" s="4"/>
      <c r="L17" s="8">
        <f t="shared" si="1"/>
        <v>0</v>
      </c>
      <c r="M17" s="8"/>
      <c r="N17" s="22">
        <f t="shared" si="2"/>
        <v>17</v>
      </c>
    </row>
    <row r="18" spans="1:14" x14ac:dyDescent="0.25">
      <c r="A18" s="19">
        <v>13</v>
      </c>
      <c r="B18" s="8">
        <v>24032472</v>
      </c>
      <c r="C18" s="9" t="s">
        <v>33</v>
      </c>
      <c r="D18" s="3"/>
      <c r="E18" s="8">
        <v>3</v>
      </c>
      <c r="F18" s="8">
        <v>5</v>
      </c>
      <c r="G18" s="8">
        <v>5</v>
      </c>
      <c r="H18" s="8">
        <v>2</v>
      </c>
      <c r="I18" s="5">
        <v>29</v>
      </c>
      <c r="J18" s="20">
        <f t="shared" si="0"/>
        <v>5.8</v>
      </c>
      <c r="K18" s="20"/>
      <c r="L18" s="8">
        <f t="shared" si="1"/>
        <v>0</v>
      </c>
      <c r="M18" s="8"/>
      <c r="N18" s="22">
        <f t="shared" si="2"/>
        <v>20.8</v>
      </c>
    </row>
    <row r="19" spans="1:14" x14ac:dyDescent="0.25">
      <c r="A19" s="19">
        <v>14</v>
      </c>
      <c r="B19" s="8">
        <v>24032473</v>
      </c>
      <c r="C19" s="9" t="s">
        <v>34</v>
      </c>
      <c r="D19" s="3"/>
      <c r="E19" s="8">
        <v>3</v>
      </c>
      <c r="F19" s="8">
        <v>5</v>
      </c>
      <c r="G19" s="8">
        <v>5</v>
      </c>
      <c r="H19" s="8">
        <v>2</v>
      </c>
      <c r="I19" s="5">
        <v>28</v>
      </c>
      <c r="J19" s="20">
        <f t="shared" si="0"/>
        <v>5.6</v>
      </c>
      <c r="K19" s="3"/>
      <c r="L19" s="8">
        <f t="shared" si="1"/>
        <v>0</v>
      </c>
      <c r="M19" s="3"/>
      <c r="N19" s="22">
        <f t="shared" si="2"/>
        <v>20.6</v>
      </c>
    </row>
    <row r="20" spans="1:14" x14ac:dyDescent="0.25">
      <c r="A20" s="19">
        <v>15</v>
      </c>
      <c r="B20" s="8">
        <v>24032474</v>
      </c>
      <c r="C20" s="9" t="s">
        <v>35</v>
      </c>
      <c r="D20" s="3"/>
      <c r="E20" s="8">
        <v>3</v>
      </c>
      <c r="F20" s="8">
        <v>5</v>
      </c>
      <c r="G20" s="8">
        <v>5</v>
      </c>
      <c r="H20" s="8">
        <v>2</v>
      </c>
      <c r="I20" s="5" t="s">
        <v>68</v>
      </c>
      <c r="J20" s="20" t="e">
        <f t="shared" si="0"/>
        <v>#VALUE!</v>
      </c>
      <c r="K20" s="20"/>
      <c r="L20" s="8">
        <f t="shared" si="1"/>
        <v>0</v>
      </c>
      <c r="M20" s="8"/>
      <c r="N20" s="22" t="e">
        <f t="shared" si="2"/>
        <v>#VALUE!</v>
      </c>
    </row>
    <row r="21" spans="1:14" x14ac:dyDescent="0.25">
      <c r="A21" s="19">
        <v>16</v>
      </c>
      <c r="B21" s="8">
        <v>24032475</v>
      </c>
      <c r="C21" s="9" t="s">
        <v>36</v>
      </c>
      <c r="D21" s="3"/>
      <c r="E21" s="8">
        <v>3</v>
      </c>
      <c r="F21" s="8">
        <v>5</v>
      </c>
      <c r="G21" s="8">
        <v>5</v>
      </c>
      <c r="H21" s="8">
        <v>2</v>
      </c>
      <c r="I21" s="5">
        <v>8</v>
      </c>
      <c r="J21" s="20">
        <f t="shared" si="0"/>
        <v>1.6</v>
      </c>
      <c r="K21" s="20"/>
      <c r="L21" s="8">
        <f t="shared" si="1"/>
        <v>0</v>
      </c>
      <c r="M21" s="8"/>
      <c r="N21" s="22">
        <f t="shared" si="2"/>
        <v>16.600000000000001</v>
      </c>
    </row>
    <row r="22" spans="1:14" x14ac:dyDescent="0.25">
      <c r="A22" s="19">
        <v>17</v>
      </c>
      <c r="B22" s="8">
        <v>24032476</v>
      </c>
      <c r="C22" s="9" t="s">
        <v>37</v>
      </c>
      <c r="D22" s="3"/>
      <c r="E22" s="8">
        <v>3</v>
      </c>
      <c r="F22" s="8">
        <v>5</v>
      </c>
      <c r="G22" s="8">
        <v>5</v>
      </c>
      <c r="H22" s="8">
        <v>2</v>
      </c>
      <c r="I22" s="5">
        <v>40</v>
      </c>
      <c r="J22" s="20">
        <f t="shared" si="0"/>
        <v>8</v>
      </c>
      <c r="K22" s="20"/>
      <c r="L22" s="8">
        <f t="shared" si="1"/>
        <v>0</v>
      </c>
      <c r="M22" s="8"/>
      <c r="N22" s="22">
        <f t="shared" si="2"/>
        <v>23</v>
      </c>
    </row>
    <row r="23" spans="1:14" x14ac:dyDescent="0.25">
      <c r="A23" s="19">
        <v>18</v>
      </c>
      <c r="B23" s="8">
        <v>24032477</v>
      </c>
      <c r="C23" s="9" t="s">
        <v>38</v>
      </c>
      <c r="D23" s="3"/>
      <c r="E23" s="8">
        <v>3</v>
      </c>
      <c r="F23" s="8">
        <v>5</v>
      </c>
      <c r="G23" s="8">
        <v>5</v>
      </c>
      <c r="H23" s="8">
        <v>2</v>
      </c>
      <c r="I23" s="5">
        <v>20</v>
      </c>
      <c r="J23" s="20">
        <f t="shared" si="0"/>
        <v>4</v>
      </c>
      <c r="K23" s="20"/>
      <c r="L23" s="8">
        <f t="shared" si="1"/>
        <v>0</v>
      </c>
      <c r="M23" s="8"/>
      <c r="N23" s="22">
        <f t="shared" si="2"/>
        <v>19</v>
      </c>
    </row>
    <row r="24" spans="1:14" x14ac:dyDescent="0.25">
      <c r="A24" s="19">
        <v>19</v>
      </c>
      <c r="B24" s="8">
        <v>24032478</v>
      </c>
      <c r="C24" s="9" t="s">
        <v>39</v>
      </c>
      <c r="D24" s="3"/>
      <c r="E24" s="8">
        <v>3</v>
      </c>
      <c r="F24" s="8">
        <v>5</v>
      </c>
      <c r="G24" s="8">
        <v>5</v>
      </c>
      <c r="H24" s="8">
        <v>2</v>
      </c>
      <c r="I24" s="5">
        <v>41</v>
      </c>
      <c r="J24" s="20">
        <f t="shared" si="0"/>
        <v>8.1999999999999993</v>
      </c>
      <c r="K24" s="23"/>
      <c r="L24" s="8">
        <f t="shared" si="1"/>
        <v>0</v>
      </c>
      <c r="M24" s="8"/>
      <c r="N24" s="22">
        <f t="shared" si="2"/>
        <v>23.2</v>
      </c>
    </row>
    <row r="25" spans="1:14" x14ac:dyDescent="0.25">
      <c r="A25" s="19">
        <v>20</v>
      </c>
      <c r="B25" s="8">
        <v>24032479</v>
      </c>
      <c r="C25" s="9" t="s">
        <v>40</v>
      </c>
      <c r="D25" s="3"/>
      <c r="E25" s="8">
        <v>3</v>
      </c>
      <c r="F25" s="8">
        <v>5</v>
      </c>
      <c r="G25" s="8">
        <v>5</v>
      </c>
      <c r="H25" s="8">
        <v>2</v>
      </c>
      <c r="I25" s="5">
        <v>3</v>
      </c>
      <c r="J25" s="20">
        <f t="shared" si="0"/>
        <v>0.6</v>
      </c>
      <c r="K25" s="3"/>
      <c r="L25" s="8">
        <f t="shared" si="1"/>
        <v>0</v>
      </c>
      <c r="M25" s="3"/>
      <c r="N25" s="22">
        <f t="shared" si="2"/>
        <v>15.6</v>
      </c>
    </row>
    <row r="26" spans="1:14" x14ac:dyDescent="0.25">
      <c r="A26" s="19">
        <v>21</v>
      </c>
      <c r="B26" s="8">
        <v>24032480</v>
      </c>
      <c r="C26" s="9" t="s">
        <v>41</v>
      </c>
      <c r="D26" s="3"/>
      <c r="E26" s="8">
        <v>3</v>
      </c>
      <c r="F26" s="8">
        <v>5</v>
      </c>
      <c r="G26" s="8">
        <v>5</v>
      </c>
      <c r="H26" s="8">
        <v>2</v>
      </c>
      <c r="I26" s="5">
        <v>4</v>
      </c>
      <c r="J26" s="20">
        <f t="shared" si="0"/>
        <v>0.8</v>
      </c>
      <c r="K26" s="3"/>
      <c r="L26" s="8">
        <f t="shared" si="1"/>
        <v>0</v>
      </c>
      <c r="M26" s="3"/>
      <c r="N26" s="22">
        <f t="shared" si="2"/>
        <v>15.8</v>
      </c>
    </row>
    <row r="27" spans="1:14" x14ac:dyDescent="0.25">
      <c r="A27" s="19">
        <v>22</v>
      </c>
      <c r="B27" s="8">
        <v>24032481</v>
      </c>
      <c r="C27" s="9" t="s">
        <v>42</v>
      </c>
      <c r="D27" s="3"/>
      <c r="E27" s="8">
        <v>3</v>
      </c>
      <c r="F27" s="8">
        <v>5</v>
      </c>
      <c r="G27" s="8">
        <v>5</v>
      </c>
      <c r="H27" s="8">
        <v>2</v>
      </c>
      <c r="I27" s="5">
        <v>39</v>
      </c>
      <c r="J27" s="20">
        <f t="shared" si="0"/>
        <v>7.8</v>
      </c>
      <c r="K27" s="20"/>
      <c r="L27" s="8">
        <f t="shared" si="1"/>
        <v>0</v>
      </c>
      <c r="M27" s="8"/>
      <c r="N27" s="22">
        <f t="shared" si="2"/>
        <v>22.8</v>
      </c>
    </row>
    <row r="28" spans="1:14" x14ac:dyDescent="0.25">
      <c r="A28" s="19">
        <v>23</v>
      </c>
      <c r="B28" s="8">
        <v>24032482</v>
      </c>
      <c r="C28" s="9" t="s">
        <v>43</v>
      </c>
      <c r="D28" s="3"/>
      <c r="E28" s="8">
        <v>3</v>
      </c>
      <c r="F28" s="8">
        <v>5</v>
      </c>
      <c r="G28" s="8">
        <v>5</v>
      </c>
      <c r="H28" s="8">
        <v>2</v>
      </c>
      <c r="I28" s="6">
        <v>43</v>
      </c>
      <c r="J28" s="20">
        <f t="shared" si="0"/>
        <v>8.6</v>
      </c>
      <c r="K28" s="23"/>
      <c r="L28" s="8">
        <f t="shared" si="1"/>
        <v>0</v>
      </c>
      <c r="M28" s="8"/>
      <c r="N28" s="22">
        <f t="shared" si="2"/>
        <v>23.6</v>
      </c>
    </row>
    <row r="29" spans="1:14" x14ac:dyDescent="0.25">
      <c r="A29" s="19">
        <v>24</v>
      </c>
      <c r="B29" s="8">
        <v>24032483</v>
      </c>
      <c r="C29" s="9" t="s">
        <v>44</v>
      </c>
      <c r="D29" s="3"/>
      <c r="E29" s="8">
        <v>3</v>
      </c>
      <c r="F29" s="8">
        <v>5</v>
      </c>
      <c r="G29" s="8">
        <v>5</v>
      </c>
      <c r="H29" s="8">
        <v>2</v>
      </c>
      <c r="I29" s="6">
        <v>14</v>
      </c>
      <c r="J29" s="20">
        <f t="shared" si="0"/>
        <v>2.8</v>
      </c>
      <c r="K29" s="4"/>
      <c r="L29" s="8">
        <f t="shared" si="1"/>
        <v>0</v>
      </c>
      <c r="M29" s="8"/>
      <c r="N29" s="22">
        <f t="shared" si="2"/>
        <v>17.8</v>
      </c>
    </row>
    <row r="30" spans="1:14" x14ac:dyDescent="0.25">
      <c r="A30" s="19">
        <v>25</v>
      </c>
      <c r="B30" s="8">
        <v>24032484</v>
      </c>
      <c r="C30" s="9" t="s">
        <v>45</v>
      </c>
      <c r="D30" s="3"/>
      <c r="E30" s="8">
        <v>3</v>
      </c>
      <c r="F30" s="8">
        <v>5</v>
      </c>
      <c r="G30" s="8">
        <v>5</v>
      </c>
      <c r="H30" s="8">
        <v>2</v>
      </c>
      <c r="I30" s="5">
        <v>8</v>
      </c>
      <c r="J30" s="20">
        <f t="shared" si="0"/>
        <v>1.6</v>
      </c>
      <c r="K30" s="20"/>
      <c r="L30" s="8">
        <f t="shared" si="1"/>
        <v>0</v>
      </c>
      <c r="M30" s="8"/>
      <c r="N30" s="22">
        <f t="shared" si="2"/>
        <v>16.600000000000001</v>
      </c>
    </row>
    <row r="31" spans="1:14" x14ac:dyDescent="0.25">
      <c r="A31" s="19">
        <v>26</v>
      </c>
      <c r="B31" s="8">
        <v>24032485</v>
      </c>
      <c r="C31" s="9" t="s">
        <v>46</v>
      </c>
      <c r="D31" s="3"/>
      <c r="E31" s="8">
        <v>3</v>
      </c>
      <c r="F31" s="8">
        <v>5</v>
      </c>
      <c r="G31" s="8">
        <v>5</v>
      </c>
      <c r="H31" s="8">
        <v>2</v>
      </c>
      <c r="I31" s="5">
        <v>8</v>
      </c>
      <c r="J31" s="20">
        <f t="shared" si="0"/>
        <v>1.6</v>
      </c>
      <c r="K31" s="23"/>
      <c r="L31" s="8">
        <f t="shared" si="1"/>
        <v>0</v>
      </c>
      <c r="M31" s="8"/>
      <c r="N31" s="22">
        <f t="shared" si="2"/>
        <v>16.600000000000001</v>
      </c>
    </row>
    <row r="32" spans="1:14" x14ac:dyDescent="0.25">
      <c r="A32" s="19">
        <v>27</v>
      </c>
      <c r="B32" s="26">
        <v>24032486</v>
      </c>
      <c r="C32" s="27" t="s">
        <v>47</v>
      </c>
      <c r="D32" s="3"/>
      <c r="E32" s="8">
        <v>3</v>
      </c>
      <c r="F32" s="8">
        <v>5</v>
      </c>
      <c r="G32" s="8">
        <v>5</v>
      </c>
      <c r="H32" s="8">
        <v>2</v>
      </c>
      <c r="I32" s="5">
        <v>44</v>
      </c>
      <c r="J32" s="20">
        <f t="shared" si="0"/>
        <v>8.8000000000000007</v>
      </c>
      <c r="K32" s="4"/>
      <c r="L32" s="8">
        <f t="shared" si="1"/>
        <v>0</v>
      </c>
      <c r="M32" s="8"/>
      <c r="N32" s="22">
        <f t="shared" si="2"/>
        <v>23.8</v>
      </c>
    </row>
    <row r="33" spans="1:14" x14ac:dyDescent="0.25">
      <c r="A33" s="19">
        <v>28</v>
      </c>
      <c r="B33" s="8">
        <v>24032487</v>
      </c>
      <c r="C33" s="9" t="s">
        <v>48</v>
      </c>
      <c r="D33" s="3"/>
      <c r="E33" s="8">
        <v>3</v>
      </c>
      <c r="F33" s="8">
        <v>5</v>
      </c>
      <c r="G33" s="8">
        <v>5</v>
      </c>
      <c r="H33" s="8">
        <v>2</v>
      </c>
      <c r="I33" s="5">
        <v>36</v>
      </c>
      <c r="J33" s="20">
        <f t="shared" si="0"/>
        <v>7.2</v>
      </c>
      <c r="K33" s="4"/>
      <c r="L33" s="8">
        <f t="shared" si="1"/>
        <v>0</v>
      </c>
      <c r="M33" s="8"/>
      <c r="N33" s="22">
        <f t="shared" si="2"/>
        <v>22.2</v>
      </c>
    </row>
    <row r="34" spans="1:14" x14ac:dyDescent="0.25">
      <c r="A34" s="19">
        <v>29</v>
      </c>
      <c r="B34" s="31">
        <v>24032488</v>
      </c>
      <c r="C34" s="9" t="s">
        <v>49</v>
      </c>
      <c r="D34" s="3"/>
      <c r="E34" s="8">
        <v>3</v>
      </c>
      <c r="F34" s="8">
        <v>5</v>
      </c>
      <c r="G34" s="8">
        <v>5</v>
      </c>
      <c r="H34" s="8">
        <v>2</v>
      </c>
      <c r="I34" s="5">
        <v>28</v>
      </c>
      <c r="J34" s="20">
        <f t="shared" si="0"/>
        <v>5.6</v>
      </c>
      <c r="K34" s="4"/>
      <c r="L34" s="8">
        <f t="shared" si="1"/>
        <v>0</v>
      </c>
      <c r="M34" s="8"/>
      <c r="N34" s="22">
        <f t="shared" si="2"/>
        <v>20.6</v>
      </c>
    </row>
    <row r="35" spans="1:14" x14ac:dyDescent="0.25">
      <c r="A35" s="19">
        <v>30</v>
      </c>
      <c r="B35" s="31">
        <v>24032489</v>
      </c>
      <c r="C35" s="9" t="s">
        <v>50</v>
      </c>
      <c r="D35" s="3"/>
      <c r="E35" s="8">
        <v>3</v>
      </c>
      <c r="F35" s="8">
        <v>5</v>
      </c>
      <c r="G35" s="8">
        <v>5</v>
      </c>
      <c r="H35" s="8">
        <v>2</v>
      </c>
      <c r="I35" s="5">
        <v>9</v>
      </c>
      <c r="J35" s="20">
        <f t="shared" si="0"/>
        <v>1.8</v>
      </c>
      <c r="K35" s="4"/>
      <c r="L35" s="8">
        <f t="shared" si="1"/>
        <v>0</v>
      </c>
      <c r="M35" s="8"/>
      <c r="N35" s="22">
        <f t="shared" si="2"/>
        <v>16.8</v>
      </c>
    </row>
    <row r="36" spans="1:14" x14ac:dyDescent="0.25">
      <c r="A36" s="19">
        <v>31</v>
      </c>
      <c r="B36" s="31">
        <v>24032490</v>
      </c>
      <c r="C36" s="9" t="s">
        <v>51</v>
      </c>
      <c r="D36" s="3"/>
      <c r="E36" s="8">
        <v>3</v>
      </c>
      <c r="F36" s="8">
        <v>5</v>
      </c>
      <c r="G36" s="8">
        <v>5</v>
      </c>
      <c r="H36" s="8">
        <v>2</v>
      </c>
      <c r="I36" s="5">
        <v>11</v>
      </c>
      <c r="J36" s="20">
        <f t="shared" si="0"/>
        <v>2.2000000000000002</v>
      </c>
      <c r="K36" s="23"/>
      <c r="L36" s="8">
        <f t="shared" si="1"/>
        <v>0</v>
      </c>
      <c r="M36" s="8"/>
      <c r="N36" s="22">
        <f t="shared" si="2"/>
        <v>17.2</v>
      </c>
    </row>
    <row r="37" spans="1:14" x14ac:dyDescent="0.25">
      <c r="A37" s="19">
        <v>32</v>
      </c>
      <c r="B37" s="31">
        <v>24032491</v>
      </c>
      <c r="C37" s="9" t="s">
        <v>52</v>
      </c>
      <c r="D37" s="3"/>
      <c r="E37" s="8">
        <v>3</v>
      </c>
      <c r="F37" s="8">
        <v>5</v>
      </c>
      <c r="G37" s="8">
        <v>5</v>
      </c>
      <c r="H37" s="8">
        <v>2</v>
      </c>
      <c r="I37" s="5">
        <v>25</v>
      </c>
      <c r="J37" s="20">
        <f t="shared" si="0"/>
        <v>5</v>
      </c>
      <c r="K37" s="20"/>
      <c r="L37" s="8">
        <f t="shared" si="1"/>
        <v>0</v>
      </c>
      <c r="M37" s="8"/>
      <c r="N37" s="22">
        <f t="shared" si="2"/>
        <v>20</v>
      </c>
    </row>
    <row r="38" spans="1:14" x14ac:dyDescent="0.25">
      <c r="A38" s="19">
        <v>33</v>
      </c>
      <c r="B38" s="31">
        <v>24032492</v>
      </c>
      <c r="C38" s="9" t="s">
        <v>53</v>
      </c>
      <c r="D38" s="3"/>
      <c r="E38" s="8">
        <v>3</v>
      </c>
      <c r="F38" s="8">
        <v>5</v>
      </c>
      <c r="G38" s="8">
        <v>5</v>
      </c>
      <c r="H38" s="8">
        <v>2</v>
      </c>
      <c r="I38" s="5">
        <v>46</v>
      </c>
      <c r="J38" s="20">
        <f t="shared" si="0"/>
        <v>9.1999999999999993</v>
      </c>
      <c r="K38" s="3"/>
      <c r="L38" s="8">
        <f t="shared" si="1"/>
        <v>0</v>
      </c>
      <c r="M38" s="8"/>
      <c r="N38" s="22">
        <f t="shared" si="2"/>
        <v>24.2</v>
      </c>
    </row>
    <row r="39" spans="1:14" x14ac:dyDescent="0.25">
      <c r="A39" s="19">
        <v>34</v>
      </c>
      <c r="B39" s="31">
        <v>24032493</v>
      </c>
      <c r="C39" s="9" t="s">
        <v>54</v>
      </c>
      <c r="D39" s="3"/>
      <c r="E39" s="8">
        <v>3</v>
      </c>
      <c r="F39" s="8">
        <v>5</v>
      </c>
      <c r="G39" s="8">
        <v>5</v>
      </c>
      <c r="H39" s="8">
        <v>2</v>
      </c>
      <c r="I39" s="5">
        <v>25</v>
      </c>
      <c r="J39" s="20">
        <f t="shared" si="0"/>
        <v>5</v>
      </c>
      <c r="K39" s="3"/>
      <c r="L39" s="8">
        <f t="shared" si="1"/>
        <v>0</v>
      </c>
      <c r="M39" s="8"/>
      <c r="N39" s="22">
        <f t="shared" si="2"/>
        <v>20</v>
      </c>
    </row>
    <row r="40" spans="1:14" x14ac:dyDescent="0.25">
      <c r="A40" s="19">
        <v>35</v>
      </c>
      <c r="B40" s="31">
        <v>24032494</v>
      </c>
      <c r="C40" s="9" t="s">
        <v>55</v>
      </c>
      <c r="D40" s="3"/>
      <c r="E40" s="8">
        <v>3</v>
      </c>
      <c r="F40" s="8">
        <v>5</v>
      </c>
      <c r="G40" s="8">
        <v>5</v>
      </c>
      <c r="H40" s="8">
        <v>2</v>
      </c>
      <c r="I40" s="8" t="s">
        <v>68</v>
      </c>
      <c r="J40" s="20" t="e">
        <f t="shared" si="0"/>
        <v>#VALUE!</v>
      </c>
      <c r="K40" s="3"/>
      <c r="L40" s="8">
        <f t="shared" si="1"/>
        <v>0</v>
      </c>
      <c r="M40" s="8"/>
      <c r="N40" s="22" t="e">
        <f t="shared" si="2"/>
        <v>#VALUE!</v>
      </c>
    </row>
    <row r="41" spans="1:14" x14ac:dyDescent="0.25">
      <c r="A41" s="19">
        <v>36</v>
      </c>
      <c r="B41" s="31">
        <v>24032495</v>
      </c>
      <c r="C41" s="9" t="s">
        <v>56</v>
      </c>
      <c r="D41" s="3"/>
      <c r="E41" s="8">
        <v>3</v>
      </c>
      <c r="F41" s="8">
        <v>5</v>
      </c>
      <c r="G41" s="8">
        <v>5</v>
      </c>
      <c r="H41" s="8">
        <v>2</v>
      </c>
      <c r="I41" s="5">
        <v>30</v>
      </c>
      <c r="J41" s="20">
        <f t="shared" si="0"/>
        <v>6</v>
      </c>
      <c r="K41" s="3"/>
      <c r="L41" s="8">
        <f t="shared" si="1"/>
        <v>0</v>
      </c>
      <c r="M41" s="8"/>
      <c r="N41" s="22">
        <f t="shared" si="2"/>
        <v>21</v>
      </c>
    </row>
    <row r="42" spans="1:14" x14ac:dyDescent="0.25">
      <c r="A42" s="19">
        <v>37</v>
      </c>
      <c r="B42" s="31">
        <v>24032496</v>
      </c>
      <c r="C42" s="9" t="s">
        <v>57</v>
      </c>
      <c r="D42" s="3"/>
      <c r="E42" s="8">
        <v>3</v>
      </c>
      <c r="F42" s="8">
        <v>5</v>
      </c>
      <c r="G42" s="8">
        <v>5</v>
      </c>
      <c r="H42" s="8">
        <v>2</v>
      </c>
      <c r="I42" s="5">
        <v>0</v>
      </c>
      <c r="J42" s="20">
        <f t="shared" si="0"/>
        <v>0</v>
      </c>
      <c r="K42" s="3"/>
      <c r="L42" s="8">
        <f t="shared" si="1"/>
        <v>0</v>
      </c>
      <c r="M42" s="8"/>
      <c r="N42" s="22">
        <f t="shared" si="2"/>
        <v>15</v>
      </c>
    </row>
    <row r="43" spans="1:14" x14ac:dyDescent="0.25">
      <c r="A43" s="19">
        <v>38</v>
      </c>
      <c r="B43" s="31">
        <v>24032497</v>
      </c>
      <c r="C43" s="9" t="s">
        <v>58</v>
      </c>
      <c r="D43" s="3"/>
      <c r="E43" s="8">
        <v>3</v>
      </c>
      <c r="F43" s="8">
        <v>5</v>
      </c>
      <c r="G43" s="8">
        <v>5</v>
      </c>
      <c r="H43" s="8">
        <v>2</v>
      </c>
      <c r="I43" s="5">
        <v>28</v>
      </c>
      <c r="J43" s="20">
        <f t="shared" si="0"/>
        <v>5.6</v>
      </c>
      <c r="K43" s="3"/>
      <c r="L43" s="8">
        <f t="shared" si="1"/>
        <v>0</v>
      </c>
      <c r="M43" s="8"/>
      <c r="N43" s="22">
        <f t="shared" si="2"/>
        <v>20.6</v>
      </c>
    </row>
    <row r="44" spans="1:14" x14ac:dyDescent="0.25">
      <c r="A44" s="19">
        <v>39</v>
      </c>
      <c r="B44" s="31">
        <v>24032498</v>
      </c>
      <c r="C44" s="9" t="s">
        <v>59</v>
      </c>
      <c r="D44" s="3"/>
      <c r="E44" s="8">
        <v>3</v>
      </c>
      <c r="F44" s="8">
        <v>5</v>
      </c>
      <c r="G44" s="8">
        <v>5</v>
      </c>
      <c r="H44" s="8">
        <v>2</v>
      </c>
      <c r="I44" s="5" t="s">
        <v>68</v>
      </c>
      <c r="J44" s="20" t="e">
        <f t="shared" si="0"/>
        <v>#VALUE!</v>
      </c>
      <c r="K44" s="3"/>
      <c r="L44" s="8">
        <f t="shared" si="1"/>
        <v>0</v>
      </c>
      <c r="M44" s="8"/>
      <c r="N44" s="22" t="e">
        <f t="shared" si="2"/>
        <v>#VALUE!</v>
      </c>
    </row>
    <row r="45" spans="1:14" x14ac:dyDescent="0.25">
      <c r="A45" s="19">
        <v>40</v>
      </c>
      <c r="B45" s="31">
        <v>24032499</v>
      </c>
      <c r="C45" s="9" t="s">
        <v>60</v>
      </c>
      <c r="D45" s="3"/>
      <c r="E45" s="8">
        <v>3</v>
      </c>
      <c r="F45" s="8">
        <v>5</v>
      </c>
      <c r="G45" s="8">
        <v>5</v>
      </c>
      <c r="H45" s="8">
        <v>2</v>
      </c>
      <c r="I45" s="8">
        <v>28</v>
      </c>
      <c r="J45" s="20">
        <f t="shared" si="0"/>
        <v>5.6</v>
      </c>
      <c r="K45" s="3"/>
      <c r="L45" s="8">
        <f t="shared" si="1"/>
        <v>0</v>
      </c>
      <c r="M45" s="8"/>
      <c r="N45" s="22">
        <f t="shared" si="2"/>
        <v>20.6</v>
      </c>
    </row>
    <row r="46" spans="1:14" x14ac:dyDescent="0.25">
      <c r="A46" s="19">
        <v>41</v>
      </c>
      <c r="B46" s="31">
        <v>24032500</v>
      </c>
      <c r="C46" s="9" t="s">
        <v>61</v>
      </c>
      <c r="D46" s="3"/>
      <c r="E46" s="8">
        <v>3</v>
      </c>
      <c r="F46" s="8">
        <v>5</v>
      </c>
      <c r="G46" s="8">
        <v>5</v>
      </c>
      <c r="H46" s="8">
        <v>2</v>
      </c>
      <c r="I46" s="5">
        <v>17</v>
      </c>
      <c r="J46" s="20">
        <f t="shared" si="0"/>
        <v>3.4</v>
      </c>
      <c r="K46" s="3"/>
      <c r="L46" s="8">
        <f t="shared" si="1"/>
        <v>0</v>
      </c>
      <c r="M46" s="8"/>
      <c r="N46" s="22">
        <f t="shared" si="2"/>
        <v>18.399999999999999</v>
      </c>
    </row>
    <row r="47" spans="1:14" x14ac:dyDescent="0.25">
      <c r="A47" s="19">
        <v>42</v>
      </c>
      <c r="B47" s="31">
        <v>24032501</v>
      </c>
      <c r="C47" s="9" t="s">
        <v>62</v>
      </c>
      <c r="D47" s="3"/>
      <c r="E47" s="8">
        <v>3</v>
      </c>
      <c r="F47" s="8">
        <v>5</v>
      </c>
      <c r="G47" s="8">
        <v>5</v>
      </c>
      <c r="H47" s="8">
        <v>2</v>
      </c>
      <c r="I47" s="5">
        <v>6</v>
      </c>
      <c r="J47" s="20">
        <f t="shared" si="0"/>
        <v>1.2</v>
      </c>
      <c r="K47" s="3"/>
      <c r="L47" s="8">
        <f t="shared" si="1"/>
        <v>0</v>
      </c>
      <c r="M47" s="8"/>
      <c r="N47" s="22">
        <f t="shared" si="2"/>
        <v>16.2</v>
      </c>
    </row>
    <row r="48" spans="1:14" x14ac:dyDescent="0.25">
      <c r="A48" s="19">
        <v>43</v>
      </c>
      <c r="B48" s="31">
        <v>24032502</v>
      </c>
      <c r="C48" s="9" t="s">
        <v>63</v>
      </c>
      <c r="D48" s="3"/>
      <c r="E48" s="8">
        <v>3</v>
      </c>
      <c r="F48" s="8">
        <v>5</v>
      </c>
      <c r="G48" s="8">
        <v>5</v>
      </c>
      <c r="H48" s="8">
        <v>2</v>
      </c>
      <c r="I48" s="3">
        <v>11</v>
      </c>
      <c r="J48" s="20">
        <f t="shared" si="0"/>
        <v>2.2000000000000002</v>
      </c>
      <c r="K48" s="3"/>
      <c r="L48" s="8">
        <f t="shared" si="1"/>
        <v>0</v>
      </c>
      <c r="M48" s="8"/>
      <c r="N48" s="22">
        <f t="shared" si="2"/>
        <v>17.2</v>
      </c>
    </row>
    <row r="49" spans="1:14" x14ac:dyDescent="0.25">
      <c r="A49" s="19">
        <v>44</v>
      </c>
      <c r="B49" s="31">
        <v>24032503</v>
      </c>
      <c r="C49" s="9" t="s">
        <v>65</v>
      </c>
      <c r="D49" s="3"/>
      <c r="E49" s="8"/>
      <c r="F49" s="8"/>
      <c r="G49" s="8"/>
      <c r="H49" s="8"/>
      <c r="I49" s="3" t="s">
        <v>68</v>
      </c>
      <c r="J49" s="20"/>
      <c r="K49" s="3"/>
      <c r="L49" s="8"/>
      <c r="M49" s="8"/>
      <c r="N49" s="22">
        <f t="shared" si="2"/>
        <v>0</v>
      </c>
    </row>
    <row r="50" spans="1:14" x14ac:dyDescent="0.25">
      <c r="A50" s="19">
        <v>45</v>
      </c>
      <c r="B50" s="31">
        <v>24032504</v>
      </c>
      <c r="C50" s="9" t="s">
        <v>64</v>
      </c>
      <c r="D50" s="3"/>
      <c r="E50" s="8">
        <v>3</v>
      </c>
      <c r="F50" s="8">
        <v>5</v>
      </c>
      <c r="G50" s="8">
        <v>5</v>
      </c>
      <c r="H50" s="8">
        <v>2</v>
      </c>
      <c r="I50" s="3">
        <v>2</v>
      </c>
      <c r="J50" s="20">
        <f t="shared" si="0"/>
        <v>0.4</v>
      </c>
      <c r="K50" s="3"/>
      <c r="L50" s="8">
        <f t="shared" ref="L50" si="3">K50/4</f>
        <v>0</v>
      </c>
      <c r="M50" s="8"/>
      <c r="N50" s="22">
        <f t="shared" si="2"/>
        <v>15.4</v>
      </c>
    </row>
  </sheetData>
  <mergeCells count="5">
    <mergeCell ref="A1:N1"/>
    <mergeCell ref="A2:N2"/>
    <mergeCell ref="A3:N3"/>
    <mergeCell ref="A4:B4"/>
    <mergeCell ref="C4:E4"/>
  </mergeCells>
  <pageMargins left="0.7" right="0.7" top="0.75" bottom="0.75" header="0.3" footer="0.3"/>
  <pageSetup paperSize="9" scale="64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"/>
  <sheetViews>
    <sheetView workbookViewId="0">
      <selection activeCell="P11" sqref="P11"/>
    </sheetView>
  </sheetViews>
  <sheetFormatPr defaultRowHeight="15" x14ac:dyDescent="0.25"/>
  <cols>
    <col min="2" max="2" width="11" customWidth="1"/>
    <col min="3" max="3" width="18" customWidth="1"/>
    <col min="4" max="4" width="14.7109375" customWidth="1"/>
    <col min="9" max="9" width="12.85546875" customWidth="1"/>
    <col min="10" max="10" width="11.7109375" customWidth="1"/>
    <col min="11" max="11" width="14.42578125" customWidth="1"/>
    <col min="12" max="12" width="18.85546875" customWidth="1"/>
  </cols>
  <sheetData>
    <row r="1" spans="1:14" x14ac:dyDescent="0.25">
      <c r="A1" s="43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</row>
    <row r="2" spans="1:14" x14ac:dyDescent="0.25">
      <c r="A2" s="43" t="s">
        <v>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</row>
    <row r="3" spans="1:14" x14ac:dyDescent="0.25">
      <c r="A3" s="44" t="s">
        <v>20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</row>
    <row r="4" spans="1:14" ht="15.75" thickBot="1" x14ac:dyDescent="0.3">
      <c r="A4" s="45" t="s">
        <v>18</v>
      </c>
      <c r="B4" s="46"/>
      <c r="C4" s="47" t="s">
        <v>19</v>
      </c>
      <c r="D4" s="48"/>
      <c r="E4" s="48"/>
      <c r="F4" s="12" t="s">
        <v>72</v>
      </c>
      <c r="G4" s="10"/>
      <c r="H4" s="13"/>
      <c r="I4" s="10"/>
      <c r="J4" s="10"/>
      <c r="K4" s="10"/>
      <c r="L4" s="14" t="s">
        <v>2</v>
      </c>
      <c r="M4" s="10"/>
      <c r="N4" s="10"/>
    </row>
    <row r="5" spans="1:14" ht="39" thickBot="1" x14ac:dyDescent="0.3">
      <c r="A5" s="15" t="s">
        <v>3</v>
      </c>
      <c r="B5" s="2" t="s">
        <v>4</v>
      </c>
      <c r="C5" s="2" t="s">
        <v>5</v>
      </c>
      <c r="D5" s="16" t="s">
        <v>66</v>
      </c>
      <c r="E5" s="16" t="s">
        <v>6</v>
      </c>
      <c r="F5" s="16" t="s">
        <v>7</v>
      </c>
      <c r="G5" s="16" t="s">
        <v>8</v>
      </c>
      <c r="H5" s="16" t="s">
        <v>9</v>
      </c>
      <c r="I5" s="16" t="s">
        <v>10</v>
      </c>
      <c r="J5" s="17" t="s">
        <v>11</v>
      </c>
      <c r="K5" s="2" t="s">
        <v>12</v>
      </c>
      <c r="L5" s="18" t="s">
        <v>13</v>
      </c>
      <c r="M5" s="16" t="s">
        <v>14</v>
      </c>
      <c r="N5" s="16" t="s">
        <v>15</v>
      </c>
    </row>
    <row r="6" spans="1:14" x14ac:dyDescent="0.25">
      <c r="A6" s="19">
        <v>1</v>
      </c>
      <c r="B6" s="8">
        <v>24032460</v>
      </c>
      <c r="C6" s="9" t="s">
        <v>21</v>
      </c>
      <c r="D6" s="3"/>
      <c r="E6" s="8">
        <v>3</v>
      </c>
      <c r="F6" s="8">
        <v>5</v>
      </c>
      <c r="G6" s="8">
        <v>5</v>
      </c>
      <c r="H6" s="8">
        <v>2</v>
      </c>
      <c r="I6" s="5"/>
      <c r="J6" s="20">
        <f>I6/5</f>
        <v>0</v>
      </c>
      <c r="K6" s="21"/>
      <c r="L6" s="8">
        <f>K6/4</f>
        <v>0</v>
      </c>
      <c r="M6" s="8"/>
      <c r="N6" s="22">
        <f>E6+F6+G6+H6+J6+L6+M6</f>
        <v>15</v>
      </c>
    </row>
    <row r="7" spans="1:14" x14ac:dyDescent="0.25">
      <c r="A7" s="19">
        <v>2</v>
      </c>
      <c r="B7" s="8">
        <v>24032461</v>
      </c>
      <c r="C7" s="9" t="s">
        <v>22</v>
      </c>
      <c r="D7" s="3"/>
      <c r="E7" s="8">
        <v>3</v>
      </c>
      <c r="F7" s="8">
        <v>5</v>
      </c>
      <c r="G7" s="8">
        <v>5</v>
      </c>
      <c r="H7" s="8">
        <v>2</v>
      </c>
      <c r="I7" s="5"/>
      <c r="J7" s="20">
        <f t="shared" ref="J7:J50" si="0">I7/5</f>
        <v>0</v>
      </c>
      <c r="K7" s="23"/>
      <c r="L7" s="8">
        <f t="shared" ref="L7:L50" si="1">K7/4</f>
        <v>0</v>
      </c>
      <c r="M7" s="8"/>
      <c r="N7" s="22">
        <f t="shared" ref="N7:N50" si="2">E7+F7+G7+H7+J7+L7+M7</f>
        <v>15</v>
      </c>
    </row>
    <row r="8" spans="1:14" x14ac:dyDescent="0.25">
      <c r="A8" s="19">
        <v>3</v>
      </c>
      <c r="B8" s="8">
        <v>24032462</v>
      </c>
      <c r="C8" s="9" t="s">
        <v>23</v>
      </c>
      <c r="D8" s="3"/>
      <c r="E8" s="8">
        <v>3</v>
      </c>
      <c r="F8" s="8">
        <v>5</v>
      </c>
      <c r="G8" s="8">
        <v>5</v>
      </c>
      <c r="H8" s="8">
        <v>2</v>
      </c>
      <c r="I8" s="5"/>
      <c r="J8" s="20">
        <f t="shared" si="0"/>
        <v>0</v>
      </c>
      <c r="K8" s="20"/>
      <c r="L8" s="8">
        <f t="shared" si="1"/>
        <v>0</v>
      </c>
      <c r="M8" s="8"/>
      <c r="N8" s="22">
        <f t="shared" si="2"/>
        <v>15</v>
      </c>
    </row>
    <row r="9" spans="1:14" x14ac:dyDescent="0.25">
      <c r="A9" s="19">
        <v>4</v>
      </c>
      <c r="B9" s="8">
        <v>24032463</v>
      </c>
      <c r="C9" s="9" t="s">
        <v>24</v>
      </c>
      <c r="D9" s="3"/>
      <c r="E9" s="8">
        <v>3</v>
      </c>
      <c r="F9" s="8">
        <v>5</v>
      </c>
      <c r="G9" s="8">
        <v>5</v>
      </c>
      <c r="H9" s="8">
        <v>2</v>
      </c>
      <c r="I9" s="5"/>
      <c r="J9" s="20">
        <f t="shared" si="0"/>
        <v>0</v>
      </c>
      <c r="K9" s="24"/>
      <c r="L9" s="8">
        <f t="shared" si="1"/>
        <v>0</v>
      </c>
      <c r="M9" s="8"/>
      <c r="N9" s="22">
        <f t="shared" si="2"/>
        <v>15</v>
      </c>
    </row>
    <row r="10" spans="1:14" x14ac:dyDescent="0.25">
      <c r="A10" s="19">
        <v>5</v>
      </c>
      <c r="B10" s="8">
        <v>24032464</v>
      </c>
      <c r="C10" s="9" t="s">
        <v>25</v>
      </c>
      <c r="D10" s="3"/>
      <c r="E10" s="8">
        <v>3</v>
      </c>
      <c r="F10" s="8">
        <v>5</v>
      </c>
      <c r="G10" s="8">
        <v>5</v>
      </c>
      <c r="H10" s="8">
        <v>2</v>
      </c>
      <c r="I10" s="5"/>
      <c r="J10" s="20">
        <f t="shared" si="0"/>
        <v>0</v>
      </c>
      <c r="K10" s="24"/>
      <c r="L10" s="8">
        <f t="shared" si="1"/>
        <v>0</v>
      </c>
      <c r="M10" s="8"/>
      <c r="N10" s="22">
        <f t="shared" si="2"/>
        <v>15</v>
      </c>
    </row>
    <row r="11" spans="1:14" x14ac:dyDescent="0.25">
      <c r="A11" s="19">
        <v>6</v>
      </c>
      <c r="B11" s="8">
        <v>24032465</v>
      </c>
      <c r="C11" s="9" t="s">
        <v>26</v>
      </c>
      <c r="D11" s="3"/>
      <c r="E11" s="8">
        <v>3</v>
      </c>
      <c r="F11" s="8">
        <v>5</v>
      </c>
      <c r="G11" s="8">
        <v>5</v>
      </c>
      <c r="H11" s="8">
        <v>2</v>
      </c>
      <c r="I11" s="5"/>
      <c r="J11" s="20">
        <f t="shared" si="0"/>
        <v>0</v>
      </c>
      <c r="K11" s="23"/>
      <c r="L11" s="8">
        <f t="shared" si="1"/>
        <v>0</v>
      </c>
      <c r="M11" s="8"/>
      <c r="N11" s="22">
        <f t="shared" si="2"/>
        <v>15</v>
      </c>
    </row>
    <row r="12" spans="1:14" x14ac:dyDescent="0.25">
      <c r="A12" s="19">
        <v>7</v>
      </c>
      <c r="B12" s="8">
        <v>24032466</v>
      </c>
      <c r="C12" s="9" t="s">
        <v>27</v>
      </c>
      <c r="D12" s="3"/>
      <c r="E12" s="8">
        <v>3</v>
      </c>
      <c r="F12" s="8">
        <v>5</v>
      </c>
      <c r="G12" s="8">
        <v>5</v>
      </c>
      <c r="H12" s="8">
        <v>2</v>
      </c>
      <c r="I12" s="5"/>
      <c r="J12" s="20">
        <f t="shared" si="0"/>
        <v>0</v>
      </c>
      <c r="K12" s="20"/>
      <c r="L12" s="8">
        <f t="shared" si="1"/>
        <v>0</v>
      </c>
      <c r="M12" s="8"/>
      <c r="N12" s="22">
        <f t="shared" si="2"/>
        <v>15</v>
      </c>
    </row>
    <row r="13" spans="1:14" x14ac:dyDescent="0.25">
      <c r="A13" s="19">
        <v>8</v>
      </c>
      <c r="B13" s="8">
        <v>24032467</v>
      </c>
      <c r="C13" s="9" t="s">
        <v>28</v>
      </c>
      <c r="D13" s="3"/>
      <c r="E13" s="8">
        <v>3</v>
      </c>
      <c r="F13" s="8">
        <v>5</v>
      </c>
      <c r="G13" s="8">
        <v>5</v>
      </c>
      <c r="H13" s="8">
        <v>2</v>
      </c>
      <c r="I13" s="5"/>
      <c r="J13" s="20">
        <f t="shared" si="0"/>
        <v>0</v>
      </c>
      <c r="K13" s="25"/>
      <c r="L13" s="8">
        <f t="shared" si="1"/>
        <v>0</v>
      </c>
      <c r="M13" s="8"/>
      <c r="N13" s="22">
        <f t="shared" si="2"/>
        <v>15</v>
      </c>
    </row>
    <row r="14" spans="1:14" x14ac:dyDescent="0.25">
      <c r="A14" s="19">
        <v>9</v>
      </c>
      <c r="B14" s="8">
        <v>24032468</v>
      </c>
      <c r="C14" s="9" t="s">
        <v>29</v>
      </c>
      <c r="D14" s="3"/>
      <c r="E14" s="8">
        <v>3</v>
      </c>
      <c r="F14" s="8">
        <v>5</v>
      </c>
      <c r="G14" s="8">
        <v>5</v>
      </c>
      <c r="H14" s="8">
        <v>2</v>
      </c>
      <c r="I14" s="5"/>
      <c r="J14" s="20">
        <f t="shared" si="0"/>
        <v>0</v>
      </c>
      <c r="K14" s="20"/>
      <c r="L14" s="8">
        <f t="shared" si="1"/>
        <v>0</v>
      </c>
      <c r="M14" s="8"/>
      <c r="N14" s="22">
        <f t="shared" si="2"/>
        <v>15</v>
      </c>
    </row>
    <row r="15" spans="1:14" x14ac:dyDescent="0.25">
      <c r="A15" s="19">
        <v>10</v>
      </c>
      <c r="B15" s="8">
        <v>24032469</v>
      </c>
      <c r="C15" s="9" t="s">
        <v>30</v>
      </c>
      <c r="D15" s="3"/>
      <c r="E15" s="8">
        <v>3</v>
      </c>
      <c r="F15" s="8">
        <v>5</v>
      </c>
      <c r="G15" s="8">
        <v>5</v>
      </c>
      <c r="H15" s="8">
        <v>2</v>
      </c>
      <c r="I15" s="5"/>
      <c r="J15" s="20">
        <f t="shared" si="0"/>
        <v>0</v>
      </c>
      <c r="K15" s="20"/>
      <c r="L15" s="8">
        <f t="shared" si="1"/>
        <v>0</v>
      </c>
      <c r="M15" s="8"/>
      <c r="N15" s="22">
        <f t="shared" si="2"/>
        <v>15</v>
      </c>
    </row>
    <row r="16" spans="1:14" x14ac:dyDescent="0.25">
      <c r="A16" s="19">
        <v>11</v>
      </c>
      <c r="B16" s="8">
        <v>24032470</v>
      </c>
      <c r="C16" s="9" t="s">
        <v>31</v>
      </c>
      <c r="D16" s="3"/>
      <c r="E16" s="8">
        <v>3</v>
      </c>
      <c r="F16" s="8">
        <v>5</v>
      </c>
      <c r="G16" s="8">
        <v>5</v>
      </c>
      <c r="H16" s="8">
        <v>2</v>
      </c>
      <c r="I16" s="5"/>
      <c r="J16" s="20">
        <f t="shared" si="0"/>
        <v>0</v>
      </c>
      <c r="K16" s="3"/>
      <c r="L16" s="8">
        <f t="shared" si="1"/>
        <v>0</v>
      </c>
      <c r="M16" s="3"/>
      <c r="N16" s="22">
        <f t="shared" si="2"/>
        <v>15</v>
      </c>
    </row>
    <row r="17" spans="1:14" x14ac:dyDescent="0.25">
      <c r="A17" s="19">
        <v>12</v>
      </c>
      <c r="B17" s="8">
        <v>24032471</v>
      </c>
      <c r="C17" s="9" t="s">
        <v>32</v>
      </c>
      <c r="D17" s="3"/>
      <c r="E17" s="8">
        <v>3</v>
      </c>
      <c r="F17" s="8">
        <v>5</v>
      </c>
      <c r="G17" s="8">
        <v>5</v>
      </c>
      <c r="H17" s="8">
        <v>2</v>
      </c>
      <c r="I17" s="5"/>
      <c r="J17" s="20">
        <f t="shared" si="0"/>
        <v>0</v>
      </c>
      <c r="K17" s="4"/>
      <c r="L17" s="8">
        <f t="shared" si="1"/>
        <v>0</v>
      </c>
      <c r="M17" s="8"/>
      <c r="N17" s="22">
        <f t="shared" si="2"/>
        <v>15</v>
      </c>
    </row>
    <row r="18" spans="1:14" x14ac:dyDescent="0.25">
      <c r="A18" s="19">
        <v>13</v>
      </c>
      <c r="B18" s="8">
        <v>24032472</v>
      </c>
      <c r="C18" s="9" t="s">
        <v>33</v>
      </c>
      <c r="D18" s="3"/>
      <c r="E18" s="8">
        <v>3</v>
      </c>
      <c r="F18" s="8">
        <v>5</v>
      </c>
      <c r="G18" s="8">
        <v>5</v>
      </c>
      <c r="H18" s="8">
        <v>2</v>
      </c>
      <c r="I18" s="5"/>
      <c r="J18" s="20">
        <f t="shared" si="0"/>
        <v>0</v>
      </c>
      <c r="K18" s="20"/>
      <c r="L18" s="8">
        <f t="shared" si="1"/>
        <v>0</v>
      </c>
      <c r="M18" s="8"/>
      <c r="N18" s="22">
        <f t="shared" si="2"/>
        <v>15</v>
      </c>
    </row>
    <row r="19" spans="1:14" x14ac:dyDescent="0.25">
      <c r="A19" s="19">
        <v>14</v>
      </c>
      <c r="B19" s="8">
        <v>24032473</v>
      </c>
      <c r="C19" s="9" t="s">
        <v>34</v>
      </c>
      <c r="D19" s="3"/>
      <c r="E19" s="8">
        <v>3</v>
      </c>
      <c r="F19" s="8">
        <v>5</v>
      </c>
      <c r="G19" s="8">
        <v>5</v>
      </c>
      <c r="H19" s="8">
        <v>2</v>
      </c>
      <c r="I19" s="5"/>
      <c r="J19" s="20">
        <f t="shared" si="0"/>
        <v>0</v>
      </c>
      <c r="K19" s="3"/>
      <c r="L19" s="8">
        <f t="shared" si="1"/>
        <v>0</v>
      </c>
      <c r="M19" s="3"/>
      <c r="N19" s="22">
        <f t="shared" si="2"/>
        <v>15</v>
      </c>
    </row>
    <row r="20" spans="1:14" x14ac:dyDescent="0.25">
      <c r="A20" s="19">
        <v>15</v>
      </c>
      <c r="B20" s="8">
        <v>24032474</v>
      </c>
      <c r="C20" s="9" t="s">
        <v>35</v>
      </c>
      <c r="D20" s="3"/>
      <c r="E20" s="8">
        <v>3</v>
      </c>
      <c r="F20" s="8">
        <v>5</v>
      </c>
      <c r="G20" s="8">
        <v>5</v>
      </c>
      <c r="H20" s="8">
        <v>2</v>
      </c>
      <c r="I20" s="5"/>
      <c r="J20" s="20">
        <f t="shared" si="0"/>
        <v>0</v>
      </c>
      <c r="K20" s="20"/>
      <c r="L20" s="8">
        <f t="shared" si="1"/>
        <v>0</v>
      </c>
      <c r="M20" s="8"/>
      <c r="N20" s="22">
        <f t="shared" si="2"/>
        <v>15</v>
      </c>
    </row>
    <row r="21" spans="1:14" x14ac:dyDescent="0.25">
      <c r="A21" s="19">
        <v>16</v>
      </c>
      <c r="B21" s="8">
        <v>24032475</v>
      </c>
      <c r="C21" s="9" t="s">
        <v>36</v>
      </c>
      <c r="D21" s="3"/>
      <c r="E21" s="8">
        <v>3</v>
      </c>
      <c r="F21" s="8">
        <v>5</v>
      </c>
      <c r="G21" s="8">
        <v>5</v>
      </c>
      <c r="H21" s="8">
        <v>2</v>
      </c>
      <c r="I21" s="5"/>
      <c r="J21" s="20">
        <f t="shared" si="0"/>
        <v>0</v>
      </c>
      <c r="K21" s="20"/>
      <c r="L21" s="8">
        <f t="shared" si="1"/>
        <v>0</v>
      </c>
      <c r="M21" s="8"/>
      <c r="N21" s="22">
        <f t="shared" si="2"/>
        <v>15</v>
      </c>
    </row>
    <row r="22" spans="1:14" x14ac:dyDescent="0.25">
      <c r="A22" s="19">
        <v>17</v>
      </c>
      <c r="B22" s="8">
        <v>24032476</v>
      </c>
      <c r="C22" s="9" t="s">
        <v>37</v>
      </c>
      <c r="D22" s="3"/>
      <c r="E22" s="8">
        <v>3</v>
      </c>
      <c r="F22" s="8">
        <v>5</v>
      </c>
      <c r="G22" s="8">
        <v>5</v>
      </c>
      <c r="H22" s="8">
        <v>2</v>
      </c>
      <c r="I22" s="5"/>
      <c r="J22" s="20">
        <f t="shared" si="0"/>
        <v>0</v>
      </c>
      <c r="K22" s="20"/>
      <c r="L22" s="8">
        <f t="shared" si="1"/>
        <v>0</v>
      </c>
      <c r="M22" s="8"/>
      <c r="N22" s="22">
        <f t="shared" si="2"/>
        <v>15</v>
      </c>
    </row>
    <row r="23" spans="1:14" x14ac:dyDescent="0.25">
      <c r="A23" s="19">
        <v>18</v>
      </c>
      <c r="B23" s="8">
        <v>24032477</v>
      </c>
      <c r="C23" s="9" t="s">
        <v>38</v>
      </c>
      <c r="D23" s="3"/>
      <c r="E23" s="8">
        <v>3</v>
      </c>
      <c r="F23" s="8">
        <v>5</v>
      </c>
      <c r="G23" s="8">
        <v>5</v>
      </c>
      <c r="H23" s="8">
        <v>2</v>
      </c>
      <c r="I23" s="5"/>
      <c r="J23" s="20">
        <f t="shared" si="0"/>
        <v>0</v>
      </c>
      <c r="K23" s="20"/>
      <c r="L23" s="8">
        <f t="shared" si="1"/>
        <v>0</v>
      </c>
      <c r="M23" s="8"/>
      <c r="N23" s="22">
        <f t="shared" si="2"/>
        <v>15</v>
      </c>
    </row>
    <row r="24" spans="1:14" x14ac:dyDescent="0.25">
      <c r="A24" s="19">
        <v>19</v>
      </c>
      <c r="B24" s="8">
        <v>24032478</v>
      </c>
      <c r="C24" s="9" t="s">
        <v>39</v>
      </c>
      <c r="D24" s="3"/>
      <c r="E24" s="8">
        <v>3</v>
      </c>
      <c r="F24" s="8">
        <v>5</v>
      </c>
      <c r="G24" s="8">
        <v>5</v>
      </c>
      <c r="H24" s="8">
        <v>2</v>
      </c>
      <c r="I24" s="5"/>
      <c r="J24" s="20">
        <f t="shared" si="0"/>
        <v>0</v>
      </c>
      <c r="K24" s="23"/>
      <c r="L24" s="8">
        <f t="shared" si="1"/>
        <v>0</v>
      </c>
      <c r="M24" s="8"/>
      <c r="N24" s="22">
        <f t="shared" si="2"/>
        <v>15</v>
      </c>
    </row>
    <row r="25" spans="1:14" x14ac:dyDescent="0.25">
      <c r="A25" s="19">
        <v>20</v>
      </c>
      <c r="B25" s="8">
        <v>24032479</v>
      </c>
      <c r="C25" s="9" t="s">
        <v>40</v>
      </c>
      <c r="D25" s="3"/>
      <c r="E25" s="8">
        <v>3</v>
      </c>
      <c r="F25" s="8">
        <v>5</v>
      </c>
      <c r="G25" s="8">
        <v>5</v>
      </c>
      <c r="H25" s="8">
        <v>2</v>
      </c>
      <c r="I25" s="5"/>
      <c r="J25" s="20">
        <f t="shared" si="0"/>
        <v>0</v>
      </c>
      <c r="K25" s="3"/>
      <c r="L25" s="8">
        <f t="shared" si="1"/>
        <v>0</v>
      </c>
      <c r="M25" s="3"/>
      <c r="N25" s="22">
        <f t="shared" si="2"/>
        <v>15</v>
      </c>
    </row>
    <row r="26" spans="1:14" x14ac:dyDescent="0.25">
      <c r="A26" s="19">
        <v>21</v>
      </c>
      <c r="B26" s="8">
        <v>24032480</v>
      </c>
      <c r="C26" s="9" t="s">
        <v>41</v>
      </c>
      <c r="D26" s="3"/>
      <c r="E26" s="8">
        <v>3</v>
      </c>
      <c r="F26" s="8">
        <v>5</v>
      </c>
      <c r="G26" s="8">
        <v>5</v>
      </c>
      <c r="H26" s="8">
        <v>2</v>
      </c>
      <c r="I26" s="5"/>
      <c r="J26" s="20">
        <f t="shared" si="0"/>
        <v>0</v>
      </c>
      <c r="K26" s="3"/>
      <c r="L26" s="8">
        <f t="shared" si="1"/>
        <v>0</v>
      </c>
      <c r="M26" s="3"/>
      <c r="N26" s="22">
        <f t="shared" si="2"/>
        <v>15</v>
      </c>
    </row>
    <row r="27" spans="1:14" x14ac:dyDescent="0.25">
      <c r="A27" s="19">
        <v>22</v>
      </c>
      <c r="B27" s="8">
        <v>24032481</v>
      </c>
      <c r="C27" s="9" t="s">
        <v>42</v>
      </c>
      <c r="D27" s="3"/>
      <c r="E27" s="8">
        <v>3</v>
      </c>
      <c r="F27" s="8">
        <v>5</v>
      </c>
      <c r="G27" s="8">
        <v>5</v>
      </c>
      <c r="H27" s="8">
        <v>2</v>
      </c>
      <c r="I27" s="5"/>
      <c r="J27" s="20">
        <f t="shared" si="0"/>
        <v>0</v>
      </c>
      <c r="K27" s="20"/>
      <c r="L27" s="8">
        <f t="shared" si="1"/>
        <v>0</v>
      </c>
      <c r="M27" s="8"/>
      <c r="N27" s="22">
        <f t="shared" si="2"/>
        <v>15</v>
      </c>
    </row>
    <row r="28" spans="1:14" x14ac:dyDescent="0.25">
      <c r="A28" s="19">
        <v>23</v>
      </c>
      <c r="B28" s="8">
        <v>24032482</v>
      </c>
      <c r="C28" s="9" t="s">
        <v>43</v>
      </c>
      <c r="D28" s="3"/>
      <c r="E28" s="8">
        <v>3</v>
      </c>
      <c r="F28" s="8">
        <v>5</v>
      </c>
      <c r="G28" s="8">
        <v>5</v>
      </c>
      <c r="H28" s="8">
        <v>2</v>
      </c>
      <c r="I28" s="6"/>
      <c r="J28" s="20">
        <f t="shared" si="0"/>
        <v>0</v>
      </c>
      <c r="K28" s="23"/>
      <c r="L28" s="8">
        <f t="shared" si="1"/>
        <v>0</v>
      </c>
      <c r="M28" s="8"/>
      <c r="N28" s="22">
        <f t="shared" si="2"/>
        <v>15</v>
      </c>
    </row>
    <row r="29" spans="1:14" x14ac:dyDescent="0.25">
      <c r="A29" s="19">
        <v>24</v>
      </c>
      <c r="B29" s="8">
        <v>24032483</v>
      </c>
      <c r="C29" s="9" t="s">
        <v>44</v>
      </c>
      <c r="D29" s="3"/>
      <c r="E29" s="8">
        <v>3</v>
      </c>
      <c r="F29" s="8">
        <v>5</v>
      </c>
      <c r="G29" s="8">
        <v>5</v>
      </c>
      <c r="H29" s="8">
        <v>2</v>
      </c>
      <c r="I29" s="6"/>
      <c r="J29" s="20">
        <f t="shared" si="0"/>
        <v>0</v>
      </c>
      <c r="K29" s="4"/>
      <c r="L29" s="8">
        <f t="shared" si="1"/>
        <v>0</v>
      </c>
      <c r="M29" s="8"/>
      <c r="N29" s="22">
        <f t="shared" si="2"/>
        <v>15</v>
      </c>
    </row>
    <row r="30" spans="1:14" x14ac:dyDescent="0.25">
      <c r="A30" s="19">
        <v>25</v>
      </c>
      <c r="B30" s="8">
        <v>24032484</v>
      </c>
      <c r="C30" s="9" t="s">
        <v>45</v>
      </c>
      <c r="D30" s="3"/>
      <c r="E30" s="8">
        <v>3</v>
      </c>
      <c r="F30" s="8">
        <v>5</v>
      </c>
      <c r="G30" s="8">
        <v>5</v>
      </c>
      <c r="H30" s="8">
        <v>2</v>
      </c>
      <c r="I30" s="5"/>
      <c r="J30" s="20">
        <f t="shared" si="0"/>
        <v>0</v>
      </c>
      <c r="K30" s="20"/>
      <c r="L30" s="8">
        <f t="shared" si="1"/>
        <v>0</v>
      </c>
      <c r="M30" s="8"/>
      <c r="N30" s="22">
        <f t="shared" si="2"/>
        <v>15</v>
      </c>
    </row>
    <row r="31" spans="1:14" x14ac:dyDescent="0.25">
      <c r="A31" s="19">
        <v>26</v>
      </c>
      <c r="B31" s="8">
        <v>24032485</v>
      </c>
      <c r="C31" s="9" t="s">
        <v>46</v>
      </c>
      <c r="D31" s="3"/>
      <c r="E31" s="8">
        <v>3</v>
      </c>
      <c r="F31" s="8">
        <v>5</v>
      </c>
      <c r="G31" s="8">
        <v>5</v>
      </c>
      <c r="H31" s="8">
        <v>2</v>
      </c>
      <c r="I31" s="5"/>
      <c r="J31" s="20">
        <f t="shared" si="0"/>
        <v>0</v>
      </c>
      <c r="K31" s="23"/>
      <c r="L31" s="8">
        <f t="shared" si="1"/>
        <v>0</v>
      </c>
      <c r="M31" s="8"/>
      <c r="N31" s="22">
        <f t="shared" si="2"/>
        <v>15</v>
      </c>
    </row>
    <row r="32" spans="1:14" x14ac:dyDescent="0.25">
      <c r="A32" s="19">
        <v>27</v>
      </c>
      <c r="B32" s="26">
        <v>24032486</v>
      </c>
      <c r="C32" s="27" t="s">
        <v>47</v>
      </c>
      <c r="D32" s="3"/>
      <c r="E32" s="8">
        <v>3</v>
      </c>
      <c r="F32" s="8">
        <v>5</v>
      </c>
      <c r="G32" s="8">
        <v>5</v>
      </c>
      <c r="H32" s="8">
        <v>2</v>
      </c>
      <c r="I32" s="5"/>
      <c r="J32" s="20">
        <f t="shared" si="0"/>
        <v>0</v>
      </c>
      <c r="K32" s="4"/>
      <c r="L32" s="8">
        <f t="shared" si="1"/>
        <v>0</v>
      </c>
      <c r="M32" s="8"/>
      <c r="N32" s="22">
        <f t="shared" si="2"/>
        <v>15</v>
      </c>
    </row>
    <row r="33" spans="1:14" x14ac:dyDescent="0.25">
      <c r="A33" s="19">
        <v>28</v>
      </c>
      <c r="B33" s="8">
        <v>24032487</v>
      </c>
      <c r="C33" s="9" t="s">
        <v>48</v>
      </c>
      <c r="D33" s="3"/>
      <c r="E33" s="8">
        <v>3</v>
      </c>
      <c r="F33" s="8">
        <v>5</v>
      </c>
      <c r="G33" s="8">
        <v>5</v>
      </c>
      <c r="H33" s="8">
        <v>2</v>
      </c>
      <c r="I33" s="5"/>
      <c r="J33" s="20">
        <f t="shared" si="0"/>
        <v>0</v>
      </c>
      <c r="K33" s="4"/>
      <c r="L33" s="8">
        <f t="shared" si="1"/>
        <v>0</v>
      </c>
      <c r="M33" s="8"/>
      <c r="N33" s="22">
        <f t="shared" si="2"/>
        <v>15</v>
      </c>
    </row>
    <row r="34" spans="1:14" x14ac:dyDescent="0.25">
      <c r="A34" s="19">
        <v>29</v>
      </c>
      <c r="B34" s="31">
        <v>24032488</v>
      </c>
      <c r="C34" s="9" t="s">
        <v>49</v>
      </c>
      <c r="D34" s="3"/>
      <c r="E34" s="8">
        <v>3</v>
      </c>
      <c r="F34" s="8">
        <v>5</v>
      </c>
      <c r="G34" s="8">
        <v>5</v>
      </c>
      <c r="H34" s="8">
        <v>2</v>
      </c>
      <c r="I34" s="5"/>
      <c r="J34" s="20">
        <f t="shared" si="0"/>
        <v>0</v>
      </c>
      <c r="K34" s="4"/>
      <c r="L34" s="8">
        <f t="shared" si="1"/>
        <v>0</v>
      </c>
      <c r="M34" s="8"/>
      <c r="N34" s="22">
        <f t="shared" si="2"/>
        <v>15</v>
      </c>
    </row>
    <row r="35" spans="1:14" x14ac:dyDescent="0.25">
      <c r="A35" s="19">
        <v>30</v>
      </c>
      <c r="B35" s="31">
        <v>24032489</v>
      </c>
      <c r="C35" s="9" t="s">
        <v>50</v>
      </c>
      <c r="D35" s="3"/>
      <c r="E35" s="8">
        <v>3</v>
      </c>
      <c r="F35" s="8">
        <v>5</v>
      </c>
      <c r="G35" s="8">
        <v>5</v>
      </c>
      <c r="H35" s="8">
        <v>2</v>
      </c>
      <c r="I35" s="5"/>
      <c r="J35" s="20">
        <f t="shared" si="0"/>
        <v>0</v>
      </c>
      <c r="K35" s="4"/>
      <c r="L35" s="8">
        <f t="shared" si="1"/>
        <v>0</v>
      </c>
      <c r="M35" s="8"/>
      <c r="N35" s="22">
        <f t="shared" si="2"/>
        <v>15</v>
      </c>
    </row>
    <row r="36" spans="1:14" x14ac:dyDescent="0.25">
      <c r="A36" s="19">
        <v>31</v>
      </c>
      <c r="B36" s="31">
        <v>24032490</v>
      </c>
      <c r="C36" s="9" t="s">
        <v>51</v>
      </c>
      <c r="D36" s="3"/>
      <c r="E36" s="8">
        <v>3</v>
      </c>
      <c r="F36" s="8">
        <v>5</v>
      </c>
      <c r="G36" s="8">
        <v>5</v>
      </c>
      <c r="H36" s="8">
        <v>2</v>
      </c>
      <c r="I36" s="5"/>
      <c r="J36" s="20">
        <f t="shared" si="0"/>
        <v>0</v>
      </c>
      <c r="K36" s="23"/>
      <c r="L36" s="8">
        <f t="shared" si="1"/>
        <v>0</v>
      </c>
      <c r="M36" s="8"/>
      <c r="N36" s="22">
        <f t="shared" si="2"/>
        <v>15</v>
      </c>
    </row>
    <row r="37" spans="1:14" x14ac:dyDescent="0.25">
      <c r="A37" s="19">
        <v>32</v>
      </c>
      <c r="B37" s="31">
        <v>24032491</v>
      </c>
      <c r="C37" s="9" t="s">
        <v>52</v>
      </c>
      <c r="D37" s="3"/>
      <c r="E37" s="8">
        <v>3</v>
      </c>
      <c r="F37" s="8">
        <v>5</v>
      </c>
      <c r="G37" s="8">
        <v>5</v>
      </c>
      <c r="H37" s="8">
        <v>2</v>
      </c>
      <c r="I37" s="5"/>
      <c r="J37" s="20">
        <f t="shared" si="0"/>
        <v>0</v>
      </c>
      <c r="K37" s="20"/>
      <c r="L37" s="8">
        <f t="shared" si="1"/>
        <v>0</v>
      </c>
      <c r="M37" s="8"/>
      <c r="N37" s="22">
        <f t="shared" si="2"/>
        <v>15</v>
      </c>
    </row>
    <row r="38" spans="1:14" x14ac:dyDescent="0.25">
      <c r="A38" s="19">
        <v>33</v>
      </c>
      <c r="B38" s="31">
        <v>24032492</v>
      </c>
      <c r="C38" s="9" t="s">
        <v>53</v>
      </c>
      <c r="D38" s="3"/>
      <c r="E38" s="8">
        <v>3</v>
      </c>
      <c r="F38" s="8">
        <v>5</v>
      </c>
      <c r="G38" s="8">
        <v>5</v>
      </c>
      <c r="H38" s="8">
        <v>2</v>
      </c>
      <c r="I38" s="5"/>
      <c r="J38" s="20">
        <f t="shared" si="0"/>
        <v>0</v>
      </c>
      <c r="K38" s="3"/>
      <c r="L38" s="8">
        <f t="shared" si="1"/>
        <v>0</v>
      </c>
      <c r="M38" s="8"/>
      <c r="N38" s="22">
        <f t="shared" si="2"/>
        <v>15</v>
      </c>
    </row>
    <row r="39" spans="1:14" x14ac:dyDescent="0.25">
      <c r="A39" s="19">
        <v>34</v>
      </c>
      <c r="B39" s="31">
        <v>24032493</v>
      </c>
      <c r="C39" s="9" t="s">
        <v>54</v>
      </c>
      <c r="D39" s="3"/>
      <c r="E39" s="8">
        <v>3</v>
      </c>
      <c r="F39" s="8">
        <v>5</v>
      </c>
      <c r="G39" s="8">
        <v>5</v>
      </c>
      <c r="H39" s="8">
        <v>2</v>
      </c>
      <c r="I39" s="5"/>
      <c r="J39" s="20">
        <f t="shared" si="0"/>
        <v>0</v>
      </c>
      <c r="K39" s="3"/>
      <c r="L39" s="8">
        <f t="shared" si="1"/>
        <v>0</v>
      </c>
      <c r="M39" s="8"/>
      <c r="N39" s="22">
        <f t="shared" si="2"/>
        <v>15</v>
      </c>
    </row>
    <row r="40" spans="1:14" x14ac:dyDescent="0.25">
      <c r="A40" s="19">
        <v>35</v>
      </c>
      <c r="B40" s="31">
        <v>24032494</v>
      </c>
      <c r="C40" s="9" t="s">
        <v>55</v>
      </c>
      <c r="D40" s="3"/>
      <c r="E40" s="8">
        <v>3</v>
      </c>
      <c r="F40" s="8">
        <v>5</v>
      </c>
      <c r="G40" s="8">
        <v>5</v>
      </c>
      <c r="H40" s="8">
        <v>2</v>
      </c>
      <c r="I40" s="8"/>
      <c r="J40" s="20">
        <f t="shared" si="0"/>
        <v>0</v>
      </c>
      <c r="K40" s="3"/>
      <c r="L40" s="8">
        <f t="shared" si="1"/>
        <v>0</v>
      </c>
      <c r="M40" s="8"/>
      <c r="N40" s="22">
        <f t="shared" si="2"/>
        <v>15</v>
      </c>
    </row>
    <row r="41" spans="1:14" x14ac:dyDescent="0.25">
      <c r="A41" s="19">
        <v>36</v>
      </c>
      <c r="B41" s="31">
        <v>24032495</v>
      </c>
      <c r="C41" s="9" t="s">
        <v>56</v>
      </c>
      <c r="D41" s="3"/>
      <c r="E41" s="8">
        <v>3</v>
      </c>
      <c r="F41" s="8">
        <v>5</v>
      </c>
      <c r="G41" s="8">
        <v>5</v>
      </c>
      <c r="H41" s="8">
        <v>2</v>
      </c>
      <c r="I41" s="5"/>
      <c r="J41" s="20">
        <f t="shared" si="0"/>
        <v>0</v>
      </c>
      <c r="K41" s="3"/>
      <c r="L41" s="8">
        <f t="shared" si="1"/>
        <v>0</v>
      </c>
      <c r="M41" s="8"/>
      <c r="N41" s="22">
        <f t="shared" si="2"/>
        <v>15</v>
      </c>
    </row>
    <row r="42" spans="1:14" x14ac:dyDescent="0.25">
      <c r="A42" s="19">
        <v>37</v>
      </c>
      <c r="B42" s="31">
        <v>24032496</v>
      </c>
      <c r="C42" s="9" t="s">
        <v>57</v>
      </c>
      <c r="D42" s="3"/>
      <c r="E42" s="8">
        <v>3</v>
      </c>
      <c r="F42" s="8">
        <v>5</v>
      </c>
      <c r="G42" s="8">
        <v>5</v>
      </c>
      <c r="H42" s="8">
        <v>2</v>
      </c>
      <c r="I42" s="5"/>
      <c r="J42" s="20">
        <f t="shared" si="0"/>
        <v>0</v>
      </c>
      <c r="K42" s="3"/>
      <c r="L42" s="8">
        <f t="shared" si="1"/>
        <v>0</v>
      </c>
      <c r="M42" s="8"/>
      <c r="N42" s="22">
        <f t="shared" si="2"/>
        <v>15</v>
      </c>
    </row>
    <row r="43" spans="1:14" x14ac:dyDescent="0.25">
      <c r="A43" s="19">
        <v>38</v>
      </c>
      <c r="B43" s="31">
        <v>24032497</v>
      </c>
      <c r="C43" s="9" t="s">
        <v>58</v>
      </c>
      <c r="D43" s="3"/>
      <c r="E43" s="8">
        <v>3</v>
      </c>
      <c r="F43" s="8">
        <v>5</v>
      </c>
      <c r="G43" s="8">
        <v>5</v>
      </c>
      <c r="H43" s="8">
        <v>2</v>
      </c>
      <c r="I43" s="5"/>
      <c r="J43" s="20">
        <f t="shared" si="0"/>
        <v>0</v>
      </c>
      <c r="K43" s="3"/>
      <c r="L43" s="8">
        <f t="shared" si="1"/>
        <v>0</v>
      </c>
      <c r="M43" s="8"/>
      <c r="N43" s="22">
        <f t="shared" si="2"/>
        <v>15</v>
      </c>
    </row>
    <row r="44" spans="1:14" x14ac:dyDescent="0.25">
      <c r="A44" s="19">
        <v>39</v>
      </c>
      <c r="B44" s="31">
        <v>24032498</v>
      </c>
      <c r="C44" s="9" t="s">
        <v>59</v>
      </c>
      <c r="D44" s="3"/>
      <c r="E44" s="8">
        <v>3</v>
      </c>
      <c r="F44" s="8">
        <v>5</v>
      </c>
      <c r="G44" s="8">
        <v>5</v>
      </c>
      <c r="H44" s="8">
        <v>2</v>
      </c>
      <c r="I44" s="5"/>
      <c r="J44" s="20">
        <f t="shared" si="0"/>
        <v>0</v>
      </c>
      <c r="K44" s="3"/>
      <c r="L44" s="8">
        <f t="shared" si="1"/>
        <v>0</v>
      </c>
      <c r="M44" s="8"/>
      <c r="N44" s="22">
        <f t="shared" si="2"/>
        <v>15</v>
      </c>
    </row>
    <row r="45" spans="1:14" x14ac:dyDescent="0.25">
      <c r="A45" s="19">
        <v>40</v>
      </c>
      <c r="B45" s="31">
        <v>24032499</v>
      </c>
      <c r="C45" s="9" t="s">
        <v>60</v>
      </c>
      <c r="D45" s="3"/>
      <c r="E45" s="8">
        <v>3</v>
      </c>
      <c r="F45" s="8">
        <v>5</v>
      </c>
      <c r="G45" s="8">
        <v>5</v>
      </c>
      <c r="H45" s="8">
        <v>2</v>
      </c>
      <c r="I45" s="8"/>
      <c r="J45" s="20">
        <f t="shared" si="0"/>
        <v>0</v>
      </c>
      <c r="K45" s="3"/>
      <c r="L45" s="8">
        <f t="shared" si="1"/>
        <v>0</v>
      </c>
      <c r="M45" s="8"/>
      <c r="N45" s="22">
        <f t="shared" si="2"/>
        <v>15</v>
      </c>
    </row>
    <row r="46" spans="1:14" x14ac:dyDescent="0.25">
      <c r="A46" s="19">
        <v>41</v>
      </c>
      <c r="B46" s="31">
        <v>24032500</v>
      </c>
      <c r="C46" s="9" t="s">
        <v>61</v>
      </c>
      <c r="D46" s="3"/>
      <c r="E46" s="8">
        <v>3</v>
      </c>
      <c r="F46" s="8">
        <v>5</v>
      </c>
      <c r="G46" s="8">
        <v>5</v>
      </c>
      <c r="H46" s="8">
        <v>2</v>
      </c>
      <c r="I46" s="5"/>
      <c r="J46" s="20">
        <f t="shared" si="0"/>
        <v>0</v>
      </c>
      <c r="K46" s="3"/>
      <c r="L46" s="8">
        <f t="shared" si="1"/>
        <v>0</v>
      </c>
      <c r="M46" s="8"/>
      <c r="N46" s="22">
        <f t="shared" si="2"/>
        <v>15</v>
      </c>
    </row>
    <row r="47" spans="1:14" x14ac:dyDescent="0.25">
      <c r="A47" s="19">
        <v>42</v>
      </c>
      <c r="B47" s="31">
        <v>24032501</v>
      </c>
      <c r="C47" s="9" t="s">
        <v>62</v>
      </c>
      <c r="D47" s="3"/>
      <c r="E47" s="8">
        <v>3</v>
      </c>
      <c r="F47" s="8">
        <v>5</v>
      </c>
      <c r="G47" s="8">
        <v>5</v>
      </c>
      <c r="H47" s="8">
        <v>2</v>
      </c>
      <c r="I47" s="5"/>
      <c r="J47" s="20">
        <f t="shared" si="0"/>
        <v>0</v>
      </c>
      <c r="K47" s="3"/>
      <c r="L47" s="8">
        <f t="shared" si="1"/>
        <v>0</v>
      </c>
      <c r="M47" s="8"/>
      <c r="N47" s="22">
        <f t="shared" si="2"/>
        <v>15</v>
      </c>
    </row>
    <row r="48" spans="1:14" x14ac:dyDescent="0.25">
      <c r="A48" s="19">
        <v>43</v>
      </c>
      <c r="B48" s="31">
        <v>24032502</v>
      </c>
      <c r="C48" s="9" t="s">
        <v>63</v>
      </c>
      <c r="D48" s="3"/>
      <c r="E48" s="8">
        <v>3</v>
      </c>
      <c r="F48" s="8">
        <v>5</v>
      </c>
      <c r="G48" s="8">
        <v>5</v>
      </c>
      <c r="H48" s="8">
        <v>2</v>
      </c>
      <c r="I48" s="3"/>
      <c r="J48" s="20">
        <f t="shared" si="0"/>
        <v>0</v>
      </c>
      <c r="K48" s="3"/>
      <c r="L48" s="8">
        <f t="shared" si="1"/>
        <v>0</v>
      </c>
      <c r="M48" s="8"/>
      <c r="N48" s="22">
        <f t="shared" si="2"/>
        <v>15</v>
      </c>
    </row>
    <row r="49" spans="1:14" x14ac:dyDescent="0.25">
      <c r="A49" s="19">
        <v>44</v>
      </c>
      <c r="B49" s="31">
        <v>24032503</v>
      </c>
      <c r="C49" s="9" t="s">
        <v>65</v>
      </c>
      <c r="D49" s="3"/>
      <c r="E49" s="8"/>
      <c r="F49" s="8"/>
      <c r="G49" s="8"/>
      <c r="H49" s="8"/>
      <c r="I49" s="3"/>
      <c r="J49" s="20"/>
      <c r="K49" s="3"/>
      <c r="L49" s="8"/>
      <c r="M49" s="8"/>
      <c r="N49" s="22"/>
    </row>
    <row r="50" spans="1:14" x14ac:dyDescent="0.25">
      <c r="A50" s="19">
        <v>45</v>
      </c>
      <c r="B50" s="31">
        <v>24032504</v>
      </c>
      <c r="C50" s="9" t="s">
        <v>64</v>
      </c>
      <c r="D50" s="3"/>
      <c r="E50" s="8">
        <v>3</v>
      </c>
      <c r="F50" s="8">
        <v>5</v>
      </c>
      <c r="G50" s="8">
        <v>5</v>
      </c>
      <c r="H50" s="8">
        <v>2</v>
      </c>
      <c r="I50" s="3"/>
      <c r="J50" s="20">
        <f t="shared" si="0"/>
        <v>0</v>
      </c>
      <c r="K50" s="3"/>
      <c r="L50" s="8">
        <f t="shared" si="1"/>
        <v>0</v>
      </c>
      <c r="M50" s="8"/>
      <c r="N50" s="22">
        <f t="shared" si="2"/>
        <v>15</v>
      </c>
    </row>
  </sheetData>
  <mergeCells count="5">
    <mergeCell ref="A1:N1"/>
    <mergeCell ref="A2:N2"/>
    <mergeCell ref="A3:N3"/>
    <mergeCell ref="A4:B4"/>
    <mergeCell ref="C4:E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7"/>
  <sheetViews>
    <sheetView tabSelected="1" workbookViewId="0">
      <selection activeCell="R30" sqref="R29:R30"/>
    </sheetView>
  </sheetViews>
  <sheetFormatPr defaultRowHeight="15" x14ac:dyDescent="0.25"/>
  <cols>
    <col min="2" max="2" width="11" customWidth="1"/>
    <col min="3" max="3" width="18" customWidth="1"/>
    <col min="4" max="4" width="14.7109375" customWidth="1"/>
    <col min="7" max="7" width="11.28515625" customWidth="1"/>
    <col min="8" max="8" width="12.7109375" customWidth="1"/>
    <col min="9" max="9" width="12.85546875" customWidth="1"/>
    <col min="10" max="10" width="11.7109375" customWidth="1"/>
    <col min="11" max="11" width="14.42578125" customWidth="1"/>
    <col min="12" max="12" width="18.85546875" customWidth="1"/>
  </cols>
  <sheetData>
    <row r="1" spans="1:14" x14ac:dyDescent="0.25">
      <c r="A1" s="43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</row>
    <row r="2" spans="1:14" x14ac:dyDescent="0.25">
      <c r="A2" s="43" t="s">
        <v>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</row>
    <row r="3" spans="1:14" x14ac:dyDescent="0.25">
      <c r="A3" s="44" t="s">
        <v>20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</row>
    <row r="4" spans="1:14" ht="15.75" thickBot="1" x14ac:dyDescent="0.3">
      <c r="A4" s="45" t="s">
        <v>18</v>
      </c>
      <c r="B4" s="46"/>
      <c r="C4" s="47" t="s">
        <v>19</v>
      </c>
      <c r="D4" s="48"/>
      <c r="E4" s="48"/>
      <c r="F4" s="12" t="s">
        <v>73</v>
      </c>
      <c r="G4" s="10"/>
      <c r="H4" s="13"/>
      <c r="I4" s="10"/>
      <c r="J4" s="10"/>
      <c r="K4" s="10"/>
      <c r="L4" s="14" t="s">
        <v>2</v>
      </c>
      <c r="M4" s="10"/>
      <c r="N4" s="10"/>
    </row>
    <row r="5" spans="1:14" ht="39" thickBot="1" x14ac:dyDescent="0.3">
      <c r="A5" s="15" t="s">
        <v>3</v>
      </c>
      <c r="B5" s="2" t="s">
        <v>4</v>
      </c>
      <c r="C5" s="2" t="s">
        <v>5</v>
      </c>
      <c r="D5" s="16" t="s">
        <v>77</v>
      </c>
      <c r="E5" s="16" t="s">
        <v>6</v>
      </c>
      <c r="F5" s="16" t="s">
        <v>7</v>
      </c>
      <c r="G5" s="16" t="s">
        <v>8</v>
      </c>
      <c r="H5" s="16" t="s">
        <v>9</v>
      </c>
      <c r="I5" s="16" t="s">
        <v>10</v>
      </c>
      <c r="J5" s="17" t="s">
        <v>11</v>
      </c>
      <c r="K5" s="2" t="s">
        <v>12</v>
      </c>
      <c r="L5" s="18" t="s">
        <v>13</v>
      </c>
      <c r="M5" s="16" t="s">
        <v>14</v>
      </c>
      <c r="N5" s="16" t="s">
        <v>15</v>
      </c>
    </row>
    <row r="6" spans="1:14" x14ac:dyDescent="0.25">
      <c r="A6" s="19">
        <v>1</v>
      </c>
      <c r="B6" s="8">
        <v>24032460</v>
      </c>
      <c r="C6" s="9" t="s">
        <v>21</v>
      </c>
      <c r="D6" s="3">
        <v>5</v>
      </c>
      <c r="E6" s="8">
        <v>3</v>
      </c>
      <c r="F6" s="8">
        <v>5</v>
      </c>
      <c r="G6" s="8">
        <v>5</v>
      </c>
      <c r="H6" s="8">
        <v>2</v>
      </c>
      <c r="I6" s="5">
        <v>25</v>
      </c>
      <c r="J6" s="20">
        <f>I6/5</f>
        <v>5</v>
      </c>
      <c r="K6" s="34">
        <v>25</v>
      </c>
      <c r="L6" s="8">
        <f>K6/5</f>
        <v>5</v>
      </c>
      <c r="M6" s="8">
        <v>15</v>
      </c>
      <c r="N6" s="22">
        <f>E6+F6+G6+H6+J6+L6+M6+D6</f>
        <v>45</v>
      </c>
    </row>
    <row r="7" spans="1:14" x14ac:dyDescent="0.25">
      <c r="A7" s="19">
        <v>2</v>
      </c>
      <c r="B7" s="8">
        <v>24032461</v>
      </c>
      <c r="C7" s="9" t="s">
        <v>22</v>
      </c>
      <c r="D7" s="3">
        <v>5</v>
      </c>
      <c r="E7" s="8">
        <v>3</v>
      </c>
      <c r="F7" s="8">
        <v>5</v>
      </c>
      <c r="G7" s="8">
        <v>5</v>
      </c>
      <c r="H7" s="8">
        <v>2</v>
      </c>
      <c r="I7" s="5">
        <v>22</v>
      </c>
      <c r="J7" s="20">
        <f t="shared" ref="J7:J47" si="0">I7/5</f>
        <v>4.4000000000000004</v>
      </c>
      <c r="K7" s="35">
        <v>10</v>
      </c>
      <c r="L7" s="8">
        <f t="shared" ref="L7:L47" si="1">K7/5</f>
        <v>2</v>
      </c>
      <c r="M7" s="8">
        <v>15</v>
      </c>
      <c r="N7" s="22">
        <f t="shared" ref="N7:N47" si="2">E7+F7+G7+H7+J7+L7+M7+D7</f>
        <v>41.4</v>
      </c>
    </row>
    <row r="8" spans="1:14" x14ac:dyDescent="0.25">
      <c r="A8" s="19">
        <v>3</v>
      </c>
      <c r="B8" s="8">
        <v>24032462</v>
      </c>
      <c r="C8" s="9" t="s">
        <v>23</v>
      </c>
      <c r="D8" s="3">
        <v>5</v>
      </c>
      <c r="E8" s="8">
        <v>3</v>
      </c>
      <c r="F8" s="8">
        <v>5</v>
      </c>
      <c r="G8" s="8">
        <v>5</v>
      </c>
      <c r="H8" s="8">
        <v>2</v>
      </c>
      <c r="I8" s="5">
        <v>25.6</v>
      </c>
      <c r="J8" s="20">
        <f t="shared" si="0"/>
        <v>5.12</v>
      </c>
      <c r="K8" s="36">
        <v>28</v>
      </c>
      <c r="L8" s="8">
        <f t="shared" si="1"/>
        <v>5.6</v>
      </c>
      <c r="M8" s="8">
        <v>15</v>
      </c>
      <c r="N8" s="22">
        <f t="shared" si="2"/>
        <v>45.72</v>
      </c>
    </row>
    <row r="9" spans="1:14" x14ac:dyDescent="0.25">
      <c r="A9" s="19">
        <v>4</v>
      </c>
      <c r="B9" s="8">
        <v>24032463</v>
      </c>
      <c r="C9" s="9" t="s">
        <v>24</v>
      </c>
      <c r="D9" s="3">
        <v>5</v>
      </c>
      <c r="E9" s="8">
        <v>3</v>
      </c>
      <c r="F9" s="8">
        <v>5</v>
      </c>
      <c r="G9" s="8">
        <v>5</v>
      </c>
      <c r="H9" s="8">
        <v>2</v>
      </c>
      <c r="I9" s="5">
        <v>21.6</v>
      </c>
      <c r="J9" s="20">
        <f t="shared" si="0"/>
        <v>4.32</v>
      </c>
      <c r="K9" s="37">
        <v>8</v>
      </c>
      <c r="L9" s="8">
        <f t="shared" si="1"/>
        <v>1.6</v>
      </c>
      <c r="M9" s="8">
        <v>15</v>
      </c>
      <c r="N9" s="22">
        <f t="shared" si="2"/>
        <v>40.92</v>
      </c>
    </row>
    <row r="10" spans="1:14" x14ac:dyDescent="0.25">
      <c r="A10" s="19">
        <v>5</v>
      </c>
      <c r="B10" s="8">
        <v>24032464</v>
      </c>
      <c r="C10" s="9" t="s">
        <v>25</v>
      </c>
      <c r="D10" s="3">
        <v>5</v>
      </c>
      <c r="E10" s="8">
        <v>3</v>
      </c>
      <c r="F10" s="8">
        <v>5</v>
      </c>
      <c r="G10" s="8">
        <v>5</v>
      </c>
      <c r="H10" s="8">
        <v>2</v>
      </c>
      <c r="I10" s="5" t="e">
        <v>#VALUE!</v>
      </c>
      <c r="J10" s="20" t="e">
        <f t="shared" si="0"/>
        <v>#VALUE!</v>
      </c>
      <c r="K10" s="37" t="s">
        <v>68</v>
      </c>
      <c r="L10" s="8" t="e">
        <f t="shared" si="1"/>
        <v>#VALUE!</v>
      </c>
      <c r="M10" s="8">
        <v>15</v>
      </c>
      <c r="N10" s="22" t="e">
        <f t="shared" si="2"/>
        <v>#VALUE!</v>
      </c>
    </row>
    <row r="11" spans="1:14" x14ac:dyDescent="0.25">
      <c r="A11" s="19">
        <v>6</v>
      </c>
      <c r="B11" s="8">
        <v>24032466</v>
      </c>
      <c r="C11" s="9" t="s">
        <v>27</v>
      </c>
      <c r="D11" s="3">
        <v>5</v>
      </c>
      <c r="E11" s="8">
        <v>3</v>
      </c>
      <c r="F11" s="8">
        <v>5</v>
      </c>
      <c r="G11" s="8">
        <v>5</v>
      </c>
      <c r="H11" s="8">
        <v>2</v>
      </c>
      <c r="I11" s="5">
        <v>23</v>
      </c>
      <c r="J11" s="20">
        <f t="shared" si="0"/>
        <v>4.5999999999999996</v>
      </c>
      <c r="K11" s="36">
        <v>15</v>
      </c>
      <c r="L11" s="8">
        <f t="shared" si="1"/>
        <v>3</v>
      </c>
      <c r="M11" s="8">
        <v>15</v>
      </c>
      <c r="N11" s="22">
        <f t="shared" si="2"/>
        <v>42.6</v>
      </c>
    </row>
    <row r="12" spans="1:14" x14ac:dyDescent="0.25">
      <c r="A12" s="19">
        <v>7</v>
      </c>
      <c r="B12" s="8">
        <v>24032467</v>
      </c>
      <c r="C12" s="9" t="s">
        <v>28</v>
      </c>
      <c r="D12" s="3">
        <v>5</v>
      </c>
      <c r="E12" s="8">
        <v>3</v>
      </c>
      <c r="F12" s="8">
        <v>5</v>
      </c>
      <c r="G12" s="8">
        <v>5</v>
      </c>
      <c r="H12" s="8">
        <v>2</v>
      </c>
      <c r="I12" s="5">
        <v>20.6</v>
      </c>
      <c r="J12" s="20">
        <f t="shared" si="0"/>
        <v>4.12</v>
      </c>
      <c r="K12" s="38">
        <v>3</v>
      </c>
      <c r="L12" s="8">
        <f t="shared" si="1"/>
        <v>0.6</v>
      </c>
      <c r="M12" s="8">
        <v>15</v>
      </c>
      <c r="N12" s="22">
        <f t="shared" si="2"/>
        <v>39.72</v>
      </c>
    </row>
    <row r="13" spans="1:14" x14ac:dyDescent="0.25">
      <c r="A13" s="19">
        <v>8</v>
      </c>
      <c r="B13" s="8">
        <v>24032468</v>
      </c>
      <c r="C13" s="9" t="s">
        <v>29</v>
      </c>
      <c r="D13" s="3">
        <v>5</v>
      </c>
      <c r="E13" s="8">
        <v>3</v>
      </c>
      <c r="F13" s="8">
        <v>5</v>
      </c>
      <c r="G13" s="8">
        <v>5</v>
      </c>
      <c r="H13" s="8">
        <v>2</v>
      </c>
      <c r="I13" s="5">
        <v>23</v>
      </c>
      <c r="J13" s="20">
        <f t="shared" si="0"/>
        <v>4.5999999999999996</v>
      </c>
      <c r="K13" s="36">
        <v>15</v>
      </c>
      <c r="L13" s="8">
        <f t="shared" si="1"/>
        <v>3</v>
      </c>
      <c r="M13" s="8">
        <v>15</v>
      </c>
      <c r="N13" s="22">
        <f t="shared" si="2"/>
        <v>42.6</v>
      </c>
    </row>
    <row r="14" spans="1:14" x14ac:dyDescent="0.25">
      <c r="A14" s="19">
        <v>9</v>
      </c>
      <c r="B14" s="8">
        <v>24032469</v>
      </c>
      <c r="C14" s="9" t="s">
        <v>30</v>
      </c>
      <c r="D14" s="3">
        <v>5</v>
      </c>
      <c r="E14" s="8">
        <v>3</v>
      </c>
      <c r="F14" s="8">
        <v>5</v>
      </c>
      <c r="G14" s="8">
        <v>5</v>
      </c>
      <c r="H14" s="8">
        <v>2</v>
      </c>
      <c r="I14" s="5">
        <v>21</v>
      </c>
      <c r="J14" s="20">
        <f t="shared" si="0"/>
        <v>4.2</v>
      </c>
      <c r="K14" s="39">
        <v>5</v>
      </c>
      <c r="L14" s="8">
        <f t="shared" si="1"/>
        <v>1</v>
      </c>
      <c r="M14" s="8">
        <v>15</v>
      </c>
      <c r="N14" s="22">
        <f t="shared" si="2"/>
        <v>40.200000000000003</v>
      </c>
    </row>
    <row r="15" spans="1:14" x14ac:dyDescent="0.25">
      <c r="A15" s="19">
        <v>10</v>
      </c>
      <c r="B15" s="8">
        <v>24032470</v>
      </c>
      <c r="C15" s="9" t="s">
        <v>31</v>
      </c>
      <c r="D15" s="3">
        <v>5</v>
      </c>
      <c r="E15" s="8">
        <v>3</v>
      </c>
      <c r="F15" s="8">
        <v>5</v>
      </c>
      <c r="G15" s="8">
        <v>5</v>
      </c>
      <c r="H15" s="8">
        <v>2</v>
      </c>
      <c r="I15" s="5">
        <v>21.2</v>
      </c>
      <c r="J15" s="20">
        <f t="shared" si="0"/>
        <v>4.24</v>
      </c>
      <c r="K15" s="3">
        <v>6</v>
      </c>
      <c r="L15" s="8">
        <f t="shared" si="1"/>
        <v>1.2</v>
      </c>
      <c r="M15" s="8">
        <v>15</v>
      </c>
      <c r="N15" s="22">
        <f t="shared" si="2"/>
        <v>40.44</v>
      </c>
    </row>
    <row r="16" spans="1:14" x14ac:dyDescent="0.25">
      <c r="A16" s="19">
        <v>11</v>
      </c>
      <c r="B16" s="8">
        <v>24032471</v>
      </c>
      <c r="C16" s="9" t="s">
        <v>32</v>
      </c>
      <c r="D16" s="3">
        <v>5</v>
      </c>
      <c r="E16" s="8">
        <v>3</v>
      </c>
      <c r="F16" s="8">
        <v>5</v>
      </c>
      <c r="G16" s="8">
        <v>5</v>
      </c>
      <c r="H16" s="8">
        <v>2</v>
      </c>
      <c r="I16" s="5">
        <v>23</v>
      </c>
      <c r="J16" s="20">
        <f t="shared" si="0"/>
        <v>4.5999999999999996</v>
      </c>
      <c r="K16" s="4">
        <v>15</v>
      </c>
      <c r="L16" s="8">
        <f t="shared" si="1"/>
        <v>3</v>
      </c>
      <c r="M16" s="8">
        <v>15</v>
      </c>
      <c r="N16" s="22">
        <f t="shared" si="2"/>
        <v>42.6</v>
      </c>
    </row>
    <row r="17" spans="1:14" x14ac:dyDescent="0.25">
      <c r="A17" s="19">
        <v>12</v>
      </c>
      <c r="B17" s="8">
        <v>24032472</v>
      </c>
      <c r="C17" s="9" t="s">
        <v>33</v>
      </c>
      <c r="D17" s="3">
        <v>5</v>
      </c>
      <c r="E17" s="8">
        <v>3</v>
      </c>
      <c r="F17" s="8">
        <v>5</v>
      </c>
      <c r="G17" s="8">
        <v>5</v>
      </c>
      <c r="H17" s="8">
        <v>2</v>
      </c>
      <c r="I17" s="5">
        <v>22</v>
      </c>
      <c r="J17" s="20">
        <f t="shared" si="0"/>
        <v>4.4000000000000004</v>
      </c>
      <c r="K17" s="36">
        <v>10</v>
      </c>
      <c r="L17" s="8">
        <f t="shared" si="1"/>
        <v>2</v>
      </c>
      <c r="M17" s="8">
        <v>15</v>
      </c>
      <c r="N17" s="22">
        <f t="shared" si="2"/>
        <v>41.4</v>
      </c>
    </row>
    <row r="18" spans="1:14" x14ac:dyDescent="0.25">
      <c r="A18" s="19">
        <v>13</v>
      </c>
      <c r="B18" s="8">
        <v>24032473</v>
      </c>
      <c r="C18" s="9" t="s">
        <v>34</v>
      </c>
      <c r="D18" s="3">
        <v>5</v>
      </c>
      <c r="E18" s="8">
        <v>3</v>
      </c>
      <c r="F18" s="8">
        <v>5</v>
      </c>
      <c r="G18" s="8">
        <v>5</v>
      </c>
      <c r="H18" s="8">
        <v>2</v>
      </c>
      <c r="I18" s="5">
        <v>21</v>
      </c>
      <c r="J18" s="20">
        <f t="shared" si="0"/>
        <v>4.2</v>
      </c>
      <c r="K18" s="3">
        <v>5</v>
      </c>
      <c r="L18" s="8">
        <f t="shared" si="1"/>
        <v>1</v>
      </c>
      <c r="M18" s="8">
        <v>15</v>
      </c>
      <c r="N18" s="22">
        <f t="shared" si="2"/>
        <v>40.200000000000003</v>
      </c>
    </row>
    <row r="19" spans="1:14" x14ac:dyDescent="0.25">
      <c r="A19" s="19">
        <v>14</v>
      </c>
      <c r="B19" s="8">
        <v>24032474</v>
      </c>
      <c r="C19" s="9" t="s">
        <v>35</v>
      </c>
      <c r="D19" s="3">
        <v>5</v>
      </c>
      <c r="E19" s="8">
        <v>3</v>
      </c>
      <c r="F19" s="8">
        <v>5</v>
      </c>
      <c r="G19" s="8">
        <v>5</v>
      </c>
      <c r="H19" s="8">
        <v>2</v>
      </c>
      <c r="I19" s="5">
        <v>22</v>
      </c>
      <c r="J19" s="20">
        <f t="shared" si="0"/>
        <v>4.4000000000000004</v>
      </c>
      <c r="K19" s="36">
        <v>10</v>
      </c>
      <c r="L19" s="8">
        <f t="shared" si="1"/>
        <v>2</v>
      </c>
      <c r="M19" s="8">
        <v>15</v>
      </c>
      <c r="N19" s="22">
        <f t="shared" si="2"/>
        <v>41.4</v>
      </c>
    </row>
    <row r="20" spans="1:14" x14ac:dyDescent="0.25">
      <c r="A20" s="19">
        <v>15</v>
      </c>
      <c r="B20" s="8">
        <v>24032475</v>
      </c>
      <c r="C20" s="9" t="s">
        <v>36</v>
      </c>
      <c r="D20" s="3">
        <v>5</v>
      </c>
      <c r="E20" s="8">
        <v>3</v>
      </c>
      <c r="F20" s="8">
        <v>5</v>
      </c>
      <c r="G20" s="8">
        <v>5</v>
      </c>
      <c r="H20" s="8">
        <v>2</v>
      </c>
      <c r="I20" s="5">
        <v>20.6</v>
      </c>
      <c r="J20" s="20">
        <f t="shared" si="0"/>
        <v>4.12</v>
      </c>
      <c r="K20" s="36">
        <v>3</v>
      </c>
      <c r="L20" s="8">
        <f t="shared" si="1"/>
        <v>0.6</v>
      </c>
      <c r="M20" s="8">
        <v>15</v>
      </c>
      <c r="N20" s="22">
        <f t="shared" si="2"/>
        <v>39.72</v>
      </c>
    </row>
    <row r="21" spans="1:14" x14ac:dyDescent="0.25">
      <c r="A21" s="19">
        <v>16</v>
      </c>
      <c r="B21" s="8">
        <v>24032476</v>
      </c>
      <c r="C21" s="9" t="s">
        <v>37</v>
      </c>
      <c r="D21" s="3">
        <v>5</v>
      </c>
      <c r="E21" s="8">
        <v>3</v>
      </c>
      <c r="F21" s="8">
        <v>5</v>
      </c>
      <c r="G21" s="8">
        <v>5</v>
      </c>
      <c r="H21" s="8">
        <v>2</v>
      </c>
      <c r="I21" s="5">
        <v>24</v>
      </c>
      <c r="J21" s="20">
        <f t="shared" si="0"/>
        <v>4.8</v>
      </c>
      <c r="K21" s="36">
        <v>20</v>
      </c>
      <c r="L21" s="8">
        <f t="shared" si="1"/>
        <v>4</v>
      </c>
      <c r="M21" s="8">
        <v>16</v>
      </c>
      <c r="N21" s="22">
        <f t="shared" si="2"/>
        <v>44.8</v>
      </c>
    </row>
    <row r="22" spans="1:14" x14ac:dyDescent="0.25">
      <c r="A22" s="19">
        <v>17</v>
      </c>
      <c r="B22" s="8">
        <v>24032477</v>
      </c>
      <c r="C22" s="9" t="s">
        <v>38</v>
      </c>
      <c r="D22" s="3">
        <v>5</v>
      </c>
      <c r="E22" s="8">
        <v>3</v>
      </c>
      <c r="F22" s="8">
        <v>5</v>
      </c>
      <c r="G22" s="8">
        <v>5</v>
      </c>
      <c r="H22" s="8">
        <v>2</v>
      </c>
      <c r="I22" s="5">
        <v>27.6</v>
      </c>
      <c r="J22" s="20">
        <f t="shared" si="0"/>
        <v>5.5200000000000005</v>
      </c>
      <c r="K22" s="36">
        <v>38</v>
      </c>
      <c r="L22" s="8">
        <f t="shared" si="1"/>
        <v>7.6</v>
      </c>
      <c r="M22" s="8">
        <v>15</v>
      </c>
      <c r="N22" s="22">
        <f t="shared" si="2"/>
        <v>48.12</v>
      </c>
    </row>
    <row r="23" spans="1:14" x14ac:dyDescent="0.25">
      <c r="A23" s="19">
        <v>18</v>
      </c>
      <c r="B23" s="8">
        <v>24032478</v>
      </c>
      <c r="C23" s="9" t="s">
        <v>39</v>
      </c>
      <c r="D23" s="3">
        <v>5</v>
      </c>
      <c r="E23" s="8">
        <v>3</v>
      </c>
      <c r="F23" s="8">
        <v>5</v>
      </c>
      <c r="G23" s="8">
        <v>5</v>
      </c>
      <c r="H23" s="8">
        <v>2</v>
      </c>
      <c r="I23" s="5">
        <v>23</v>
      </c>
      <c r="J23" s="20">
        <f t="shared" si="0"/>
        <v>4.5999999999999996</v>
      </c>
      <c r="K23" s="35">
        <v>15</v>
      </c>
      <c r="L23" s="8">
        <f t="shared" si="1"/>
        <v>3</v>
      </c>
      <c r="M23" s="8">
        <v>15</v>
      </c>
      <c r="N23" s="22">
        <f t="shared" si="2"/>
        <v>42.6</v>
      </c>
    </row>
    <row r="24" spans="1:14" x14ac:dyDescent="0.25">
      <c r="A24" s="19">
        <v>19</v>
      </c>
      <c r="B24" s="8">
        <v>24032479</v>
      </c>
      <c r="C24" s="9" t="s">
        <v>40</v>
      </c>
      <c r="D24" s="3">
        <v>5</v>
      </c>
      <c r="E24" s="8">
        <v>3</v>
      </c>
      <c r="F24" s="8">
        <v>5</v>
      </c>
      <c r="G24" s="8">
        <v>5</v>
      </c>
      <c r="H24" s="8">
        <v>2</v>
      </c>
      <c r="I24" s="5">
        <v>20.6</v>
      </c>
      <c r="J24" s="20">
        <f t="shared" si="0"/>
        <v>4.12</v>
      </c>
      <c r="K24" s="3">
        <v>3</v>
      </c>
      <c r="L24" s="8">
        <f t="shared" si="1"/>
        <v>0.6</v>
      </c>
      <c r="M24" s="8">
        <v>15</v>
      </c>
      <c r="N24" s="22">
        <f t="shared" si="2"/>
        <v>39.72</v>
      </c>
    </row>
    <row r="25" spans="1:14" x14ac:dyDescent="0.25">
      <c r="A25" s="19">
        <v>20</v>
      </c>
      <c r="B25" s="8">
        <v>24032480</v>
      </c>
      <c r="C25" s="9" t="s">
        <v>41</v>
      </c>
      <c r="D25" s="3">
        <v>5</v>
      </c>
      <c r="E25" s="8">
        <v>3</v>
      </c>
      <c r="F25" s="8">
        <v>5</v>
      </c>
      <c r="G25" s="8">
        <v>5</v>
      </c>
      <c r="H25" s="8">
        <v>2</v>
      </c>
      <c r="I25" s="5" t="e">
        <v>#VALUE!</v>
      </c>
      <c r="J25" s="20" t="e">
        <f t="shared" si="0"/>
        <v>#VALUE!</v>
      </c>
      <c r="K25" s="3" t="s">
        <v>68</v>
      </c>
      <c r="L25" s="8" t="e">
        <f t="shared" si="1"/>
        <v>#VALUE!</v>
      </c>
      <c r="M25" s="8">
        <v>15</v>
      </c>
      <c r="N25" s="22">
        <v>38</v>
      </c>
    </row>
    <row r="26" spans="1:14" x14ac:dyDescent="0.25">
      <c r="A26" s="19">
        <v>21</v>
      </c>
      <c r="B26" s="8">
        <v>24032481</v>
      </c>
      <c r="C26" s="9" t="s">
        <v>42</v>
      </c>
      <c r="D26" s="3">
        <v>5</v>
      </c>
      <c r="E26" s="8">
        <v>3</v>
      </c>
      <c r="F26" s="8">
        <v>5</v>
      </c>
      <c r="G26" s="8">
        <v>5</v>
      </c>
      <c r="H26" s="8">
        <v>2</v>
      </c>
      <c r="I26" s="5">
        <v>24.8</v>
      </c>
      <c r="J26" s="20">
        <f t="shared" si="0"/>
        <v>4.96</v>
      </c>
      <c r="K26" s="36">
        <v>24</v>
      </c>
      <c r="L26" s="8">
        <f t="shared" si="1"/>
        <v>4.8</v>
      </c>
      <c r="M26" s="8">
        <v>15</v>
      </c>
      <c r="N26" s="22">
        <f t="shared" si="2"/>
        <v>44.760000000000005</v>
      </c>
    </row>
    <row r="27" spans="1:14" x14ac:dyDescent="0.25">
      <c r="A27" s="19">
        <v>22</v>
      </c>
      <c r="B27" s="8">
        <v>24032482</v>
      </c>
      <c r="C27" s="9" t="s">
        <v>43</v>
      </c>
      <c r="D27" s="3">
        <v>5</v>
      </c>
      <c r="E27" s="8">
        <v>3</v>
      </c>
      <c r="F27" s="8">
        <v>5</v>
      </c>
      <c r="G27" s="8">
        <v>5</v>
      </c>
      <c r="H27" s="8">
        <v>2</v>
      </c>
      <c r="I27" s="6">
        <v>27</v>
      </c>
      <c r="J27" s="20">
        <f t="shared" si="0"/>
        <v>5.4</v>
      </c>
      <c r="K27" s="35">
        <v>35</v>
      </c>
      <c r="L27" s="8">
        <f t="shared" si="1"/>
        <v>7</v>
      </c>
      <c r="M27" s="8">
        <v>15</v>
      </c>
      <c r="N27" s="22">
        <f t="shared" si="2"/>
        <v>47.4</v>
      </c>
    </row>
    <row r="28" spans="1:14" x14ac:dyDescent="0.25">
      <c r="A28" s="19">
        <v>23</v>
      </c>
      <c r="B28" s="8">
        <v>24032483</v>
      </c>
      <c r="C28" s="9" t="s">
        <v>44</v>
      </c>
      <c r="D28" s="3">
        <v>5</v>
      </c>
      <c r="E28" s="8">
        <v>3</v>
      </c>
      <c r="F28" s="8">
        <v>5</v>
      </c>
      <c r="G28" s="8">
        <v>5</v>
      </c>
      <c r="H28" s="8">
        <v>2</v>
      </c>
      <c r="I28" s="6">
        <v>22</v>
      </c>
      <c r="J28" s="20">
        <f t="shared" si="0"/>
        <v>4.4000000000000004</v>
      </c>
      <c r="K28" s="4">
        <v>10</v>
      </c>
      <c r="L28" s="8">
        <f t="shared" si="1"/>
        <v>2</v>
      </c>
      <c r="M28" s="8">
        <v>15</v>
      </c>
      <c r="N28" s="22">
        <f t="shared" si="2"/>
        <v>41.4</v>
      </c>
    </row>
    <row r="29" spans="1:14" x14ac:dyDescent="0.25">
      <c r="A29" s="19">
        <v>24</v>
      </c>
      <c r="B29" s="8">
        <v>24032484</v>
      </c>
      <c r="C29" s="9" t="s">
        <v>45</v>
      </c>
      <c r="D29" s="3">
        <v>5</v>
      </c>
      <c r="E29" s="8">
        <v>3</v>
      </c>
      <c r="F29" s="8">
        <v>5</v>
      </c>
      <c r="G29" s="8">
        <v>5</v>
      </c>
      <c r="H29" s="8">
        <v>2</v>
      </c>
      <c r="I29" s="5">
        <v>21</v>
      </c>
      <c r="J29" s="20">
        <f t="shared" si="0"/>
        <v>4.2</v>
      </c>
      <c r="K29" s="36">
        <v>5</v>
      </c>
      <c r="L29" s="8">
        <f t="shared" si="1"/>
        <v>1</v>
      </c>
      <c r="M29" s="8">
        <v>15</v>
      </c>
      <c r="N29" s="22">
        <f t="shared" si="2"/>
        <v>40.200000000000003</v>
      </c>
    </row>
    <row r="30" spans="1:14" x14ac:dyDescent="0.25">
      <c r="A30" s="19">
        <v>25</v>
      </c>
      <c r="B30" s="8">
        <v>24032485</v>
      </c>
      <c r="C30" s="9" t="s">
        <v>46</v>
      </c>
      <c r="D30" s="3">
        <v>5</v>
      </c>
      <c r="E30" s="8">
        <v>3</v>
      </c>
      <c r="F30" s="8">
        <v>5</v>
      </c>
      <c r="G30" s="8">
        <v>5</v>
      </c>
      <c r="H30" s="8">
        <v>2</v>
      </c>
      <c r="I30" s="5">
        <v>21</v>
      </c>
      <c r="J30" s="20">
        <f t="shared" si="0"/>
        <v>4.2</v>
      </c>
      <c r="K30" s="35">
        <v>5</v>
      </c>
      <c r="L30" s="8">
        <f t="shared" si="1"/>
        <v>1</v>
      </c>
      <c r="M30" s="8">
        <v>15</v>
      </c>
      <c r="N30" s="22">
        <f t="shared" si="2"/>
        <v>40.200000000000003</v>
      </c>
    </row>
    <row r="31" spans="1:14" x14ac:dyDescent="0.25">
      <c r="A31" s="19">
        <v>26</v>
      </c>
      <c r="B31" s="26">
        <v>24032486</v>
      </c>
      <c r="C31" s="27" t="s">
        <v>47</v>
      </c>
      <c r="D31" s="3">
        <v>5</v>
      </c>
      <c r="E31" s="8">
        <v>3</v>
      </c>
      <c r="F31" s="8">
        <v>5</v>
      </c>
      <c r="G31" s="8">
        <v>5</v>
      </c>
      <c r="H31" s="8">
        <v>2</v>
      </c>
      <c r="I31" s="5">
        <v>23.6</v>
      </c>
      <c r="J31" s="20">
        <f t="shared" si="0"/>
        <v>4.7200000000000006</v>
      </c>
      <c r="K31" s="4">
        <v>18</v>
      </c>
      <c r="L31" s="8">
        <f t="shared" si="1"/>
        <v>3.6</v>
      </c>
      <c r="M31" s="8">
        <v>15</v>
      </c>
      <c r="N31" s="22">
        <f t="shared" si="2"/>
        <v>43.32</v>
      </c>
    </row>
    <row r="32" spans="1:14" x14ac:dyDescent="0.25">
      <c r="A32" s="19">
        <v>27</v>
      </c>
      <c r="B32" s="8">
        <v>24032487</v>
      </c>
      <c r="C32" s="9" t="s">
        <v>48</v>
      </c>
      <c r="D32" s="3">
        <v>5</v>
      </c>
      <c r="E32" s="8">
        <v>3</v>
      </c>
      <c r="F32" s="8">
        <v>5</v>
      </c>
      <c r="G32" s="8">
        <v>5</v>
      </c>
      <c r="H32" s="8">
        <v>2</v>
      </c>
      <c r="I32" s="5">
        <v>23</v>
      </c>
      <c r="J32" s="20">
        <f t="shared" si="0"/>
        <v>4.5999999999999996</v>
      </c>
      <c r="K32" s="4">
        <v>15</v>
      </c>
      <c r="L32" s="8">
        <f t="shared" si="1"/>
        <v>3</v>
      </c>
      <c r="M32" s="8">
        <v>15</v>
      </c>
      <c r="N32" s="22">
        <f t="shared" si="2"/>
        <v>42.6</v>
      </c>
    </row>
    <row r="33" spans="1:14" x14ac:dyDescent="0.25">
      <c r="A33" s="19">
        <v>28</v>
      </c>
      <c r="B33" s="31">
        <v>24032488</v>
      </c>
      <c r="C33" s="9" t="s">
        <v>49</v>
      </c>
      <c r="D33" s="3">
        <v>5</v>
      </c>
      <c r="E33" s="8">
        <v>3</v>
      </c>
      <c r="F33" s="8">
        <v>5</v>
      </c>
      <c r="G33" s="8">
        <v>5</v>
      </c>
      <c r="H33" s="8">
        <v>2</v>
      </c>
      <c r="I33" s="5">
        <v>21.8</v>
      </c>
      <c r="J33" s="20">
        <f t="shared" si="0"/>
        <v>4.3600000000000003</v>
      </c>
      <c r="K33" s="40">
        <v>9</v>
      </c>
      <c r="L33" s="8">
        <f t="shared" si="1"/>
        <v>1.8</v>
      </c>
      <c r="M33" s="8">
        <v>15</v>
      </c>
      <c r="N33" s="22">
        <f t="shared" si="2"/>
        <v>41.16</v>
      </c>
    </row>
    <row r="34" spans="1:14" x14ac:dyDescent="0.25">
      <c r="A34" s="19">
        <v>29</v>
      </c>
      <c r="B34" s="31">
        <v>24032489</v>
      </c>
      <c r="C34" s="9" t="s">
        <v>50</v>
      </c>
      <c r="D34" s="3">
        <v>5</v>
      </c>
      <c r="E34" s="8">
        <v>3</v>
      </c>
      <c r="F34" s="8">
        <v>5</v>
      </c>
      <c r="G34" s="8">
        <v>5</v>
      </c>
      <c r="H34" s="8">
        <v>2</v>
      </c>
      <c r="I34" s="5">
        <v>21.4</v>
      </c>
      <c r="J34" s="20">
        <f t="shared" si="0"/>
        <v>4.2799999999999994</v>
      </c>
      <c r="K34" s="40">
        <v>7</v>
      </c>
      <c r="L34" s="8">
        <f t="shared" si="1"/>
        <v>1.4</v>
      </c>
      <c r="M34" s="8">
        <v>15</v>
      </c>
      <c r="N34" s="22">
        <f t="shared" si="2"/>
        <v>40.68</v>
      </c>
    </row>
    <row r="35" spans="1:14" x14ac:dyDescent="0.25">
      <c r="A35" s="19">
        <v>30</v>
      </c>
      <c r="B35" s="31">
        <v>24032490</v>
      </c>
      <c r="C35" s="9" t="s">
        <v>51</v>
      </c>
      <c r="D35" s="3">
        <v>5</v>
      </c>
      <c r="E35" s="8">
        <v>3</v>
      </c>
      <c r="F35" s="8">
        <v>5</v>
      </c>
      <c r="G35" s="8">
        <v>5</v>
      </c>
      <c r="H35" s="8">
        <v>2</v>
      </c>
      <c r="I35" s="5">
        <v>21</v>
      </c>
      <c r="J35" s="20">
        <f t="shared" si="0"/>
        <v>4.2</v>
      </c>
      <c r="K35" s="40">
        <v>5</v>
      </c>
      <c r="L35" s="8">
        <f t="shared" si="1"/>
        <v>1</v>
      </c>
      <c r="M35" s="8">
        <v>15</v>
      </c>
      <c r="N35" s="22">
        <f t="shared" si="2"/>
        <v>40.200000000000003</v>
      </c>
    </row>
    <row r="36" spans="1:14" x14ac:dyDescent="0.25">
      <c r="A36" s="19">
        <v>31</v>
      </c>
      <c r="B36" s="31">
        <v>24032491</v>
      </c>
      <c r="C36" s="9" t="s">
        <v>52</v>
      </c>
      <c r="D36" s="3">
        <v>5</v>
      </c>
      <c r="E36" s="8">
        <v>3</v>
      </c>
      <c r="F36" s="8">
        <v>5</v>
      </c>
      <c r="G36" s="8">
        <v>5</v>
      </c>
      <c r="H36" s="8">
        <v>2</v>
      </c>
      <c r="I36" s="5">
        <v>21</v>
      </c>
      <c r="J36" s="20">
        <f t="shared" si="0"/>
        <v>4.2</v>
      </c>
      <c r="K36" s="41">
        <v>5</v>
      </c>
      <c r="L36" s="8">
        <f t="shared" si="1"/>
        <v>1</v>
      </c>
      <c r="M36" s="8">
        <v>15</v>
      </c>
      <c r="N36" s="22">
        <f t="shared" si="2"/>
        <v>40.200000000000003</v>
      </c>
    </row>
    <row r="37" spans="1:14" x14ac:dyDescent="0.25">
      <c r="A37" s="19">
        <v>32</v>
      </c>
      <c r="B37" s="31">
        <v>24032492</v>
      </c>
      <c r="C37" s="9" t="s">
        <v>53</v>
      </c>
      <c r="D37" s="3">
        <v>5</v>
      </c>
      <c r="E37" s="8">
        <v>3</v>
      </c>
      <c r="F37" s="8">
        <v>5</v>
      </c>
      <c r="G37" s="8">
        <v>5</v>
      </c>
      <c r="H37" s="8">
        <v>2</v>
      </c>
      <c r="I37" s="5">
        <v>26</v>
      </c>
      <c r="J37" s="20">
        <f t="shared" si="0"/>
        <v>5.2</v>
      </c>
      <c r="K37" s="40">
        <v>30</v>
      </c>
      <c r="L37" s="8">
        <f t="shared" si="1"/>
        <v>6</v>
      </c>
      <c r="M37" s="8">
        <v>15</v>
      </c>
      <c r="N37" s="22">
        <f t="shared" si="2"/>
        <v>46.2</v>
      </c>
    </row>
    <row r="38" spans="1:14" x14ac:dyDescent="0.25">
      <c r="A38" s="19">
        <v>33</v>
      </c>
      <c r="B38" s="31">
        <v>24032493</v>
      </c>
      <c r="C38" s="9" t="s">
        <v>54</v>
      </c>
      <c r="D38" s="3">
        <v>5</v>
      </c>
      <c r="E38" s="8">
        <v>3</v>
      </c>
      <c r="F38" s="8">
        <v>5</v>
      </c>
      <c r="G38" s="8">
        <v>5</v>
      </c>
      <c r="H38" s="8">
        <v>2</v>
      </c>
      <c r="I38" s="5">
        <v>21.2</v>
      </c>
      <c r="J38" s="20">
        <f t="shared" si="0"/>
        <v>4.24</v>
      </c>
      <c r="K38" s="40">
        <v>6</v>
      </c>
      <c r="L38" s="8">
        <f t="shared" si="1"/>
        <v>1.2</v>
      </c>
      <c r="M38" s="8">
        <v>15</v>
      </c>
      <c r="N38" s="22">
        <f t="shared" si="2"/>
        <v>40.44</v>
      </c>
    </row>
    <row r="39" spans="1:14" x14ac:dyDescent="0.25">
      <c r="A39" s="19">
        <v>34</v>
      </c>
      <c r="B39" s="31">
        <v>24032495</v>
      </c>
      <c r="C39" s="9" t="s">
        <v>56</v>
      </c>
      <c r="D39" s="3">
        <v>5</v>
      </c>
      <c r="E39" s="8">
        <v>3</v>
      </c>
      <c r="F39" s="8">
        <v>5</v>
      </c>
      <c r="G39" s="8">
        <v>5</v>
      </c>
      <c r="H39" s="8">
        <v>2</v>
      </c>
      <c r="I39" s="5">
        <v>21</v>
      </c>
      <c r="J39" s="20">
        <f t="shared" si="0"/>
        <v>4.2</v>
      </c>
      <c r="K39" s="40">
        <v>5</v>
      </c>
      <c r="L39" s="8">
        <f t="shared" si="1"/>
        <v>1</v>
      </c>
      <c r="M39" s="8">
        <v>15</v>
      </c>
      <c r="N39" s="22">
        <f t="shared" si="2"/>
        <v>40.200000000000003</v>
      </c>
    </row>
    <row r="40" spans="1:14" x14ac:dyDescent="0.25">
      <c r="A40" s="19">
        <v>35</v>
      </c>
      <c r="B40" s="31">
        <v>24032496</v>
      </c>
      <c r="C40" s="9" t="s">
        <v>57</v>
      </c>
      <c r="D40" s="3">
        <v>5</v>
      </c>
      <c r="E40" s="8">
        <v>3</v>
      </c>
      <c r="F40" s="8">
        <v>5</v>
      </c>
      <c r="G40" s="8">
        <v>5</v>
      </c>
      <c r="H40" s="8">
        <v>2</v>
      </c>
      <c r="I40" s="5">
        <v>21</v>
      </c>
      <c r="J40" s="20">
        <f t="shared" si="0"/>
        <v>4.2</v>
      </c>
      <c r="K40" s="40">
        <v>5</v>
      </c>
      <c r="L40" s="8">
        <f t="shared" si="1"/>
        <v>1</v>
      </c>
      <c r="M40" s="8">
        <v>15</v>
      </c>
      <c r="N40" s="22">
        <f t="shared" si="2"/>
        <v>40.200000000000003</v>
      </c>
    </row>
    <row r="41" spans="1:14" x14ac:dyDescent="0.25">
      <c r="A41" s="19">
        <v>36</v>
      </c>
      <c r="B41" s="31">
        <v>24032497</v>
      </c>
      <c r="C41" s="9" t="s">
        <v>58</v>
      </c>
      <c r="D41" s="3">
        <v>5</v>
      </c>
      <c r="E41" s="8">
        <v>3</v>
      </c>
      <c r="F41" s="8">
        <v>5</v>
      </c>
      <c r="G41" s="8">
        <v>5</v>
      </c>
      <c r="H41" s="8">
        <v>2</v>
      </c>
      <c r="I41" s="5">
        <v>22.4</v>
      </c>
      <c r="J41" s="20">
        <f t="shared" si="0"/>
        <v>4.4799999999999995</v>
      </c>
      <c r="K41" s="40">
        <v>12</v>
      </c>
      <c r="L41" s="8">
        <f t="shared" si="1"/>
        <v>2.4</v>
      </c>
      <c r="M41" s="8">
        <v>15</v>
      </c>
      <c r="N41" s="22">
        <f t="shared" si="2"/>
        <v>41.879999999999995</v>
      </c>
    </row>
    <row r="42" spans="1:14" x14ac:dyDescent="0.25">
      <c r="A42" s="19">
        <v>37</v>
      </c>
      <c r="B42" s="31">
        <v>24032498</v>
      </c>
      <c r="C42" s="9" t="s">
        <v>59</v>
      </c>
      <c r="D42" s="3">
        <v>5</v>
      </c>
      <c r="E42" s="8">
        <v>3</v>
      </c>
      <c r="F42" s="8">
        <v>5</v>
      </c>
      <c r="G42" s="8">
        <v>5</v>
      </c>
      <c r="H42" s="8">
        <v>2</v>
      </c>
      <c r="I42" s="5">
        <v>21</v>
      </c>
      <c r="J42" s="20">
        <f t="shared" si="0"/>
        <v>4.2</v>
      </c>
      <c r="K42" s="40">
        <v>5</v>
      </c>
      <c r="L42" s="8">
        <f t="shared" si="1"/>
        <v>1</v>
      </c>
      <c r="M42" s="8">
        <v>15</v>
      </c>
      <c r="N42" s="22">
        <f t="shared" si="2"/>
        <v>40.200000000000003</v>
      </c>
    </row>
    <row r="43" spans="1:14" x14ac:dyDescent="0.25">
      <c r="A43" s="19">
        <v>38</v>
      </c>
      <c r="B43" s="31">
        <v>24032499</v>
      </c>
      <c r="C43" s="9" t="s">
        <v>60</v>
      </c>
      <c r="D43" s="3">
        <v>5</v>
      </c>
      <c r="E43" s="8">
        <v>3</v>
      </c>
      <c r="F43" s="8">
        <v>5</v>
      </c>
      <c r="G43" s="8">
        <v>5</v>
      </c>
      <c r="H43" s="8">
        <v>2</v>
      </c>
      <c r="I43" s="8">
        <v>27</v>
      </c>
      <c r="J43" s="20">
        <f t="shared" si="0"/>
        <v>5.4</v>
      </c>
      <c r="K43" s="40">
        <v>35</v>
      </c>
      <c r="L43" s="8">
        <f t="shared" si="1"/>
        <v>7</v>
      </c>
      <c r="M43" s="8">
        <v>15</v>
      </c>
      <c r="N43" s="22">
        <f t="shared" si="2"/>
        <v>47.4</v>
      </c>
    </row>
    <row r="44" spans="1:14" x14ac:dyDescent="0.25">
      <c r="A44" s="19">
        <v>39</v>
      </c>
      <c r="B44" s="31">
        <v>24032500</v>
      </c>
      <c r="C44" s="9" t="s">
        <v>61</v>
      </c>
      <c r="D44" s="3">
        <v>5</v>
      </c>
      <c r="E44" s="8">
        <v>3</v>
      </c>
      <c r="F44" s="8">
        <v>5</v>
      </c>
      <c r="G44" s="8">
        <v>5</v>
      </c>
      <c r="H44" s="8">
        <v>2</v>
      </c>
      <c r="I44" s="5">
        <v>21.2</v>
      </c>
      <c r="J44" s="20">
        <f t="shared" si="0"/>
        <v>4.24</v>
      </c>
      <c r="K44" s="40">
        <v>6</v>
      </c>
      <c r="L44" s="8">
        <f t="shared" si="1"/>
        <v>1.2</v>
      </c>
      <c r="M44" s="8">
        <v>15</v>
      </c>
      <c r="N44" s="22">
        <f t="shared" si="2"/>
        <v>40.44</v>
      </c>
    </row>
    <row r="45" spans="1:14" x14ac:dyDescent="0.25">
      <c r="A45" s="19">
        <v>40</v>
      </c>
      <c r="B45" s="31">
        <v>24032501</v>
      </c>
      <c r="C45" s="9" t="s">
        <v>62</v>
      </c>
      <c r="D45" s="3">
        <v>5</v>
      </c>
      <c r="E45" s="8">
        <v>3</v>
      </c>
      <c r="F45" s="8">
        <v>5</v>
      </c>
      <c r="G45" s="8">
        <v>5</v>
      </c>
      <c r="H45" s="8">
        <v>2</v>
      </c>
      <c r="I45" s="5">
        <v>21</v>
      </c>
      <c r="J45" s="20">
        <f t="shared" si="0"/>
        <v>4.2</v>
      </c>
      <c r="K45" s="40">
        <v>5</v>
      </c>
      <c r="L45" s="8">
        <f t="shared" si="1"/>
        <v>1</v>
      </c>
      <c r="M45" s="8">
        <v>15</v>
      </c>
      <c r="N45" s="22">
        <f t="shared" si="2"/>
        <v>40.200000000000003</v>
      </c>
    </row>
    <row r="46" spans="1:14" x14ac:dyDescent="0.25">
      <c r="A46" s="19">
        <v>41</v>
      </c>
      <c r="B46" s="31">
        <v>24032502</v>
      </c>
      <c r="C46" s="9" t="s">
        <v>63</v>
      </c>
      <c r="D46" s="3">
        <v>5</v>
      </c>
      <c r="E46" s="8">
        <v>3</v>
      </c>
      <c r="F46" s="8">
        <v>5</v>
      </c>
      <c r="G46" s="8">
        <v>5</v>
      </c>
      <c r="H46" s="8">
        <v>2</v>
      </c>
      <c r="I46" s="3">
        <v>21</v>
      </c>
      <c r="J46" s="20">
        <f t="shared" si="0"/>
        <v>4.2</v>
      </c>
      <c r="K46" s="40">
        <v>5</v>
      </c>
      <c r="L46" s="8">
        <f t="shared" si="1"/>
        <v>1</v>
      </c>
      <c r="M46" s="8">
        <v>15</v>
      </c>
      <c r="N46" s="22">
        <f t="shared" si="2"/>
        <v>40.200000000000003</v>
      </c>
    </row>
    <row r="47" spans="1:14" x14ac:dyDescent="0.25">
      <c r="A47" s="19">
        <v>42</v>
      </c>
      <c r="B47" s="31">
        <v>24032504</v>
      </c>
      <c r="C47" s="9" t="s">
        <v>64</v>
      </c>
      <c r="D47" s="3">
        <v>5</v>
      </c>
      <c r="E47" s="8">
        <v>3</v>
      </c>
      <c r="F47" s="8">
        <v>5</v>
      </c>
      <c r="G47" s="8">
        <v>5</v>
      </c>
      <c r="H47" s="8">
        <v>2</v>
      </c>
      <c r="I47" s="3">
        <v>21</v>
      </c>
      <c r="J47" s="20">
        <f t="shared" si="0"/>
        <v>4.2</v>
      </c>
      <c r="K47" s="40">
        <v>5</v>
      </c>
      <c r="L47" s="8">
        <f t="shared" si="1"/>
        <v>1</v>
      </c>
      <c r="M47" s="8">
        <v>15</v>
      </c>
      <c r="N47" s="22">
        <f t="shared" si="2"/>
        <v>40.200000000000003</v>
      </c>
    </row>
  </sheetData>
  <mergeCells count="5">
    <mergeCell ref="A1:N1"/>
    <mergeCell ref="A2:N2"/>
    <mergeCell ref="A3:N3"/>
    <mergeCell ref="A4:B4"/>
    <mergeCell ref="C4:E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Macroeconomics</vt:lpstr>
      <vt:lpstr>Essential of Finance</vt:lpstr>
      <vt:lpstr>Principles of Marketing</vt:lpstr>
      <vt:lpstr>Cost and mgt Accounting</vt:lpstr>
      <vt:lpstr>Digital Marketing Practicum</vt:lpstr>
      <vt:lpstr>Business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2026-03-25T01:41:40Z</dcterms:modified>
</cp:coreProperties>
</file>