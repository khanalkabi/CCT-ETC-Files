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firstSheet="3" activeTab="3"/>
  </bookViews>
  <sheets>
    <sheet name="Internal Business " sheetId="1" state="hidden" r:id="rId1"/>
    <sheet name=" Business Envirroment  " sheetId="2" r:id="rId2"/>
    <sheet name="Fundamentals of Entrepreneurshi" sheetId="3" r:id="rId3"/>
    <sheet name="Bank Operations Management" sheetId="5" r:id="rId4"/>
  </sheets>
  <calcPr calcId="162913"/>
</workbook>
</file>

<file path=xl/calcChain.xml><?xml version="1.0" encoding="utf-8"?>
<calcChain xmlns="http://schemas.openxmlformats.org/spreadsheetml/2006/main">
  <c r="K6" i="5" l="1"/>
  <c r="N33" i="5" l="1"/>
  <c r="O33" i="5"/>
  <c r="P33" i="5"/>
  <c r="Q33" i="5"/>
  <c r="R33" i="5"/>
  <c r="S33" i="5"/>
  <c r="T33" i="5"/>
  <c r="M32" i="5"/>
  <c r="I7" i="5"/>
  <c r="I8" i="5"/>
  <c r="I9" i="5"/>
  <c r="I10" i="5"/>
  <c r="I11" i="5"/>
  <c r="I12" i="5"/>
  <c r="I14" i="5"/>
  <c r="I15" i="5"/>
  <c r="I16" i="5"/>
  <c r="I17" i="5"/>
  <c r="I18" i="5"/>
  <c r="I19" i="5"/>
  <c r="I20" i="5"/>
  <c r="I21" i="5"/>
  <c r="I22" i="5"/>
  <c r="I23" i="5"/>
  <c r="I25" i="5"/>
  <c r="I27" i="5"/>
  <c r="I28" i="5"/>
  <c r="I29" i="5"/>
  <c r="I30" i="5"/>
  <c r="I32" i="5"/>
  <c r="I6" i="5"/>
  <c r="M6" i="5" s="1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M7" i="5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L36" i="3" l="1"/>
  <c r="J36" i="3"/>
  <c r="N36" i="3" s="1"/>
  <c r="L35" i="3"/>
  <c r="J35" i="3"/>
  <c r="N35" i="3" s="1"/>
  <c r="L34" i="3"/>
  <c r="J34" i="3"/>
  <c r="N34" i="3" s="1"/>
  <c r="L33" i="3"/>
  <c r="J33" i="3"/>
  <c r="N33" i="3" s="1"/>
  <c r="L32" i="3"/>
  <c r="J32" i="3"/>
  <c r="N32" i="3" s="1"/>
  <c r="L31" i="3"/>
  <c r="J31" i="3"/>
  <c r="N31" i="3" s="1"/>
  <c r="L30" i="3"/>
  <c r="J30" i="3"/>
  <c r="N30" i="3" s="1"/>
  <c r="L29" i="3"/>
  <c r="J29" i="3"/>
  <c r="N29" i="3" s="1"/>
  <c r="L28" i="3"/>
  <c r="J28" i="3"/>
  <c r="N28" i="3" s="1"/>
  <c r="L27" i="3"/>
  <c r="J27" i="3"/>
  <c r="N27" i="3" s="1"/>
  <c r="L26" i="3"/>
  <c r="J26" i="3"/>
  <c r="N26" i="3" s="1"/>
  <c r="L25" i="3"/>
  <c r="J25" i="3"/>
  <c r="N25" i="3" s="1"/>
  <c r="L24" i="3"/>
  <c r="J24" i="3"/>
  <c r="N24" i="3" s="1"/>
  <c r="L23" i="3"/>
  <c r="J23" i="3"/>
  <c r="N23" i="3" s="1"/>
  <c r="L22" i="3"/>
  <c r="J22" i="3"/>
  <c r="N22" i="3" s="1"/>
  <c r="L21" i="3"/>
  <c r="J21" i="3"/>
  <c r="N21" i="3" s="1"/>
  <c r="L20" i="3"/>
  <c r="J20" i="3"/>
  <c r="N20" i="3" s="1"/>
  <c r="L19" i="3"/>
  <c r="J19" i="3"/>
  <c r="N19" i="3" s="1"/>
  <c r="L18" i="3"/>
  <c r="J18" i="3"/>
  <c r="N18" i="3" s="1"/>
  <c r="L17" i="3"/>
  <c r="J17" i="3"/>
  <c r="N17" i="3" s="1"/>
  <c r="L16" i="3"/>
  <c r="J16" i="3"/>
  <c r="N16" i="3" s="1"/>
  <c r="L15" i="3"/>
  <c r="J15" i="3"/>
  <c r="N15" i="3" s="1"/>
  <c r="L14" i="3"/>
  <c r="J14" i="3"/>
  <c r="N14" i="3" s="1"/>
  <c r="L13" i="3"/>
  <c r="J13" i="3"/>
  <c r="N13" i="3" s="1"/>
  <c r="L12" i="3"/>
  <c r="J12" i="3"/>
  <c r="N12" i="3" s="1"/>
  <c r="L11" i="3"/>
  <c r="J11" i="3"/>
  <c r="N11" i="3" s="1"/>
  <c r="L10" i="3"/>
  <c r="J10" i="3"/>
  <c r="N10" i="3" s="1"/>
  <c r="L9" i="3"/>
  <c r="J9" i="3"/>
  <c r="N9" i="3" s="1"/>
  <c r="L8" i="3"/>
  <c r="J8" i="3"/>
  <c r="N8" i="3" s="1"/>
  <c r="L7" i="3"/>
  <c r="J7" i="3"/>
  <c r="N7" i="3" s="1"/>
  <c r="L6" i="3"/>
  <c r="J6" i="3"/>
  <c r="N6" i="3" s="1"/>
  <c r="N36" i="2"/>
  <c r="N35" i="2"/>
  <c r="L34" i="2"/>
  <c r="J34" i="2"/>
  <c r="N34" i="2" s="1"/>
  <c r="L33" i="2"/>
  <c r="J33" i="2"/>
  <c r="N33" i="2" s="1"/>
  <c r="L32" i="2"/>
  <c r="J32" i="2"/>
  <c r="N32" i="2" s="1"/>
  <c r="L31" i="2"/>
  <c r="J31" i="2"/>
  <c r="N31" i="2" s="1"/>
  <c r="L30" i="2"/>
  <c r="J30" i="2"/>
  <c r="N30" i="2" s="1"/>
  <c r="L29" i="2"/>
  <c r="J29" i="2"/>
  <c r="N29" i="2" s="1"/>
  <c r="L28" i="2"/>
  <c r="J28" i="2"/>
  <c r="N28" i="2" s="1"/>
  <c r="L27" i="2"/>
  <c r="J27" i="2"/>
  <c r="N27" i="2" s="1"/>
  <c r="L26" i="2"/>
  <c r="J26" i="2"/>
  <c r="N26" i="2" s="1"/>
  <c r="L25" i="2"/>
  <c r="J25" i="2"/>
  <c r="N25" i="2" s="1"/>
  <c r="L24" i="2"/>
  <c r="J24" i="2"/>
  <c r="N24" i="2" s="1"/>
  <c r="L23" i="2"/>
  <c r="J23" i="2"/>
  <c r="N23" i="2" s="1"/>
  <c r="L22" i="2"/>
  <c r="J22" i="2"/>
  <c r="N22" i="2" s="1"/>
  <c r="L21" i="2"/>
  <c r="J21" i="2"/>
  <c r="N21" i="2" s="1"/>
  <c r="L20" i="2"/>
  <c r="J20" i="2"/>
  <c r="N20" i="2" s="1"/>
  <c r="L19" i="2"/>
  <c r="J19" i="2"/>
  <c r="N19" i="2" s="1"/>
  <c r="L18" i="2"/>
  <c r="J18" i="2"/>
  <c r="N18" i="2" s="1"/>
  <c r="L17" i="2"/>
  <c r="J17" i="2"/>
  <c r="N17" i="2" s="1"/>
  <c r="L16" i="2"/>
  <c r="J16" i="2"/>
  <c r="N16" i="2" s="1"/>
  <c r="L15" i="2"/>
  <c r="J15" i="2"/>
  <c r="N15" i="2" s="1"/>
  <c r="L14" i="2"/>
  <c r="J14" i="2"/>
  <c r="N14" i="2" s="1"/>
  <c r="L13" i="2"/>
  <c r="J13" i="2"/>
  <c r="N13" i="2" s="1"/>
  <c r="L12" i="2"/>
  <c r="J12" i="2"/>
  <c r="N12" i="2" s="1"/>
  <c r="L11" i="2"/>
  <c r="J11" i="2"/>
  <c r="N11" i="2" s="1"/>
  <c r="L10" i="2"/>
  <c r="J10" i="2"/>
  <c r="N10" i="2" s="1"/>
  <c r="L9" i="2"/>
  <c r="J9" i="2"/>
  <c r="N9" i="2" s="1"/>
  <c r="L8" i="2"/>
  <c r="J8" i="2"/>
  <c r="N8" i="2" s="1"/>
  <c r="L7" i="2"/>
  <c r="J7" i="2"/>
  <c r="N7" i="2" s="1"/>
  <c r="L6" i="2"/>
  <c r="J6" i="2"/>
  <c r="N6" i="2" s="1"/>
  <c r="L36" i="1"/>
  <c r="J36" i="1"/>
  <c r="N36" i="1" s="1"/>
  <c r="L35" i="1"/>
  <c r="J35" i="1"/>
  <c r="N35" i="1" s="1"/>
  <c r="L34" i="1"/>
  <c r="J34" i="1"/>
  <c r="N34" i="1" s="1"/>
  <c r="L33" i="1"/>
  <c r="J33" i="1"/>
  <c r="N33" i="1" s="1"/>
  <c r="L32" i="1"/>
  <c r="J32" i="1"/>
  <c r="N32" i="1" s="1"/>
  <c r="L31" i="1"/>
  <c r="J31" i="1"/>
  <c r="N31" i="1" s="1"/>
  <c r="L30" i="1"/>
  <c r="J30" i="1"/>
  <c r="N30" i="1" s="1"/>
  <c r="L29" i="1"/>
  <c r="J29" i="1"/>
  <c r="N29" i="1" s="1"/>
  <c r="L28" i="1"/>
  <c r="J28" i="1"/>
  <c r="N28" i="1" s="1"/>
  <c r="L27" i="1"/>
  <c r="J27" i="1"/>
  <c r="N27" i="1" s="1"/>
  <c r="L26" i="1"/>
  <c r="J26" i="1"/>
  <c r="N26" i="1" s="1"/>
  <c r="L25" i="1"/>
  <c r="J25" i="1"/>
  <c r="N25" i="1" s="1"/>
  <c r="L24" i="1"/>
  <c r="J24" i="1"/>
  <c r="N24" i="1" s="1"/>
  <c r="L23" i="1"/>
  <c r="J23" i="1"/>
  <c r="N23" i="1" s="1"/>
  <c r="L22" i="1"/>
  <c r="J22" i="1"/>
  <c r="N22" i="1" s="1"/>
  <c r="L21" i="1"/>
  <c r="J21" i="1"/>
  <c r="N21" i="1" s="1"/>
  <c r="L20" i="1"/>
  <c r="J20" i="1"/>
  <c r="N20" i="1" s="1"/>
  <c r="L19" i="1"/>
  <c r="J19" i="1"/>
  <c r="N19" i="1" s="1"/>
  <c r="L18" i="1"/>
  <c r="J18" i="1"/>
  <c r="N18" i="1" s="1"/>
  <c r="L17" i="1"/>
  <c r="J17" i="1"/>
  <c r="N17" i="1" s="1"/>
  <c r="L16" i="1"/>
  <c r="J16" i="1"/>
  <c r="N16" i="1" s="1"/>
  <c r="L15" i="1"/>
  <c r="J15" i="1"/>
  <c r="N15" i="1" s="1"/>
  <c r="L14" i="1"/>
  <c r="J14" i="1"/>
  <c r="N14" i="1" s="1"/>
  <c r="L13" i="1"/>
  <c r="J13" i="1"/>
  <c r="N13" i="1" s="1"/>
  <c r="L12" i="1"/>
  <c r="J12" i="1"/>
  <c r="N12" i="1" s="1"/>
  <c r="L11" i="1"/>
  <c r="J11" i="1"/>
  <c r="N11" i="1" s="1"/>
  <c r="L10" i="1"/>
  <c r="J10" i="1"/>
  <c r="N10" i="1" s="1"/>
  <c r="L9" i="1"/>
  <c r="J9" i="1"/>
  <c r="N9" i="1" s="1"/>
  <c r="L8" i="1"/>
  <c r="J8" i="1"/>
  <c r="N8" i="1" s="1"/>
  <c r="L7" i="1"/>
  <c r="J7" i="1"/>
  <c r="N7" i="1" s="1"/>
  <c r="L6" i="1"/>
  <c r="J6" i="1"/>
  <c r="N6" i="1" s="1"/>
</calcChain>
</file>

<file path=xl/sharedStrings.xml><?xml version="1.0" encoding="utf-8"?>
<sst xmlns="http://schemas.openxmlformats.org/spreadsheetml/2006/main" count="217" uniqueCount="107">
  <si>
    <t>Crimson College of Technology</t>
  </si>
  <si>
    <t>Devinagar, Butwal-11, Ruapndehi</t>
  </si>
  <si>
    <t>Date:……………….…………</t>
  </si>
  <si>
    <t>SN</t>
  </si>
  <si>
    <t>Symbol No</t>
  </si>
  <si>
    <t>Name</t>
  </si>
  <si>
    <t>Total Attendance [Kartik 25- Falgun -03]</t>
  </si>
  <si>
    <t>Attendance (3Marks)</t>
  </si>
  <si>
    <t>Assignments (5Marks)</t>
  </si>
  <si>
    <t>Unit Test (5Marks)</t>
  </si>
  <si>
    <t>Presentation (2Marks)</t>
  </si>
  <si>
    <t xml:space="preserve">Marks Obtained in First Term </t>
  </si>
  <si>
    <t>First Term Exam (10Marks)</t>
  </si>
  <si>
    <t>Send Up Exam Marks[100]</t>
  </si>
  <si>
    <t>Send-Up Marks After Conversion</t>
  </si>
  <si>
    <t>Grace Marks</t>
  </si>
  <si>
    <t>Total Marks (50%)</t>
  </si>
  <si>
    <t>……………………………..</t>
  </si>
  <si>
    <t>Lecturer Signature</t>
  </si>
  <si>
    <t>Program :BBA</t>
  </si>
  <si>
    <t>Semester : 8th</t>
  </si>
  <si>
    <t>Abin Bomrel</t>
  </si>
  <si>
    <t>Aliza Bhandari</t>
  </si>
  <si>
    <t>Anand Kumar Gound</t>
  </si>
  <si>
    <t>Anil Karki</t>
  </si>
  <si>
    <t>Anita Sejwal</t>
  </si>
  <si>
    <t>Anjana G.C</t>
  </si>
  <si>
    <t>Ashirbad Chaudhary</t>
  </si>
  <si>
    <t>Asmita Subedi</t>
  </si>
  <si>
    <t>Bijay Bahadur Tharu</t>
  </si>
  <si>
    <t>Bipina Bhandari</t>
  </si>
  <si>
    <t>Dipesh Pangeni</t>
  </si>
  <si>
    <t>Driksha Thapa</t>
  </si>
  <si>
    <t>Kusum Giri</t>
  </si>
  <si>
    <t>Manju Thapa</t>
  </si>
  <si>
    <t>Mohit Bhandari</t>
  </si>
  <si>
    <t>Muna Khanal</t>
  </si>
  <si>
    <t>Nilisha Gautam</t>
  </si>
  <si>
    <t>Prashant Yadav</t>
  </si>
  <si>
    <t>Rajani Gaire</t>
  </si>
  <si>
    <t>Ranjeta Thapa Saru Magar</t>
  </si>
  <si>
    <t>Roman Thapa</t>
  </si>
  <si>
    <t>Roshni B.K</t>
  </si>
  <si>
    <t>Rupa Palli Magar</t>
  </si>
  <si>
    <t>Samana Aryal</t>
  </si>
  <si>
    <t>Saurav Bhandari</t>
  </si>
  <si>
    <t>Shova Regmi</t>
  </si>
  <si>
    <t>Shriyansi Basnet</t>
  </si>
  <si>
    <t>Shushma Panth</t>
  </si>
  <si>
    <t>Sulav Bhandari</t>
  </si>
  <si>
    <t>Sumiksha Sharma</t>
  </si>
  <si>
    <t>Kriti Chaudhary</t>
  </si>
  <si>
    <t>Students'  Evaluation Sheet  Spring-2022</t>
  </si>
  <si>
    <t>Sub: IB</t>
  </si>
  <si>
    <t>Sub: E-Business</t>
  </si>
  <si>
    <t>Aliza Khanal</t>
  </si>
  <si>
    <t>Anita Shrestha</t>
  </si>
  <si>
    <t>Anjali Pathak</t>
  </si>
  <si>
    <t>Arijima Singh Thakuri</t>
  </si>
  <si>
    <t>Asmi palli Magar</t>
  </si>
  <si>
    <t>Bhishma Gyawali</t>
  </si>
  <si>
    <t>Bijay Pandey</t>
  </si>
  <si>
    <t>Dhan Maya Thapa</t>
  </si>
  <si>
    <t>Dristy Bhandari</t>
  </si>
  <si>
    <t>Esika Kc</t>
  </si>
  <si>
    <t xml:space="preserve">Garima Gurung </t>
  </si>
  <si>
    <t>Gita Bhandari</t>
  </si>
  <si>
    <t>Goma Paudel</t>
  </si>
  <si>
    <t>Ichchha Chaudhary</t>
  </si>
  <si>
    <t>Janaki Gaha</t>
  </si>
  <si>
    <t>Kesari Chuhan Magar</t>
  </si>
  <si>
    <t>Laxmi Bhattarai</t>
  </si>
  <si>
    <t>Manisha Ruchal</t>
  </si>
  <si>
    <t>Munna Harizan</t>
  </si>
  <si>
    <t>Nisha Gaha</t>
  </si>
  <si>
    <t>Parijna Singh Thakuri</t>
  </si>
  <si>
    <t>Pratikshya Koirala</t>
  </si>
  <si>
    <t>Pratima Bhattarai</t>
  </si>
  <si>
    <t>Prenka G.c</t>
  </si>
  <si>
    <t>Puja Gurung</t>
  </si>
  <si>
    <t>Rohit Kandel</t>
  </si>
  <si>
    <t>Santosh Pandey</t>
  </si>
  <si>
    <t>Shila Rana</t>
  </si>
  <si>
    <t>Semester : 8th(B)</t>
  </si>
  <si>
    <t xml:space="preserve">Sub: </t>
  </si>
  <si>
    <t>Students'  Evaluation Sheet  Fall-2024</t>
  </si>
  <si>
    <t>Semester : 7th(B)</t>
  </si>
  <si>
    <t xml:space="preserve">Attendance [5] </t>
  </si>
  <si>
    <t>Discipline [5]</t>
  </si>
  <si>
    <t>Assignment [5]</t>
  </si>
  <si>
    <t>Presentation/Project [5]</t>
  </si>
  <si>
    <t>Mid Term</t>
  </si>
  <si>
    <t>Mid Term Marks After Conversion [10]</t>
  </si>
  <si>
    <t xml:space="preserve">Final Term  </t>
  </si>
  <si>
    <t>Final Term Marks After Conversion [20]</t>
  </si>
  <si>
    <t>Total Marks [50]</t>
  </si>
  <si>
    <t>Abscent</t>
  </si>
  <si>
    <t>Date:2081/11/25</t>
  </si>
  <si>
    <t>Sub: Bank Operations Management</t>
  </si>
  <si>
    <t>Students'  Evaluation Sheet  Fall 2024</t>
  </si>
  <si>
    <t>A</t>
  </si>
  <si>
    <t>A-</t>
  </si>
  <si>
    <t>B+</t>
  </si>
  <si>
    <t>B</t>
  </si>
  <si>
    <t>B-</t>
  </si>
  <si>
    <t>C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</si>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</sst>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0"/>
      <color theme="1"/>
      <name val="Cambria"/>
      <family val="1"/>
    </font>
    <font>
      <b/>
      <sz val="14"/>
      <name val="Agency FB"/>
      <family val="2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8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2" borderId="9" xfId="0" applyFill="1" applyBorder="1"/>
    <xf numFmtId="0" fontId="16" fillId="2" borderId="3" xfId="0" applyFont="1" applyFill="1" applyBorder="1"/>
    <xf numFmtId="0" fontId="17" fillId="0" borderId="3" xfId="0" applyFont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0" fontId="17" fillId="2" borderId="0" xfId="0" applyFont="1" applyFill="1"/>
    <xf numFmtId="0" fontId="16" fillId="2" borderId="0" xfId="0" applyFont="1" applyFill="1"/>
    <xf numFmtId="0" fontId="18" fillId="2" borderId="2" xfId="0" applyFont="1" applyFill="1" applyBorder="1" applyAlignment="1">
      <alignment horizontal="center" vertical="top"/>
    </xf>
    <xf numFmtId="0" fontId="18" fillId="2" borderId="3" xfId="0" applyFont="1" applyFill="1" applyBorder="1" applyAlignment="1">
      <alignment horizontal="center" vertical="top" wrapText="1"/>
    </xf>
    <xf numFmtId="0" fontId="16" fillId="2" borderId="6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1" fontId="16" fillId="2" borderId="7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6" fillId="2" borderId="9" xfId="0" applyFont="1" applyFill="1" applyBorder="1"/>
    <xf numFmtId="0" fontId="16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16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" fontId="16" fillId="2" borderId="0" xfId="0" applyNumberFormat="1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1" fontId="16" fillId="3" borderId="7" xfId="0" applyNumberFormat="1" applyFont="1" applyFill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3" borderId="3" xfId="0" applyFont="1" applyFill="1" applyBorder="1"/>
    <xf numFmtId="0" fontId="13" fillId="0" borderId="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left"/>
    </xf>
    <xf numFmtId="0" fontId="16" fillId="2" borderId="0" xfId="0" applyFont="1" applyFill="1" applyBorder="1" applyAlignment="1"/>
    <xf numFmtId="0" fontId="17" fillId="2" borderId="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787884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366" cy="6694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155137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2</xdr:col>
      <xdr:colOff>145976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0</xdr:row>
      <xdr:rowOff>33979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551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155137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551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7423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573839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386266</xdr:colOff>
      <xdr:row>2</xdr:row>
      <xdr:rowOff>97987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17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2"/>
  <sheetViews>
    <sheetView workbookViewId="0">
      <selection activeCell="F4" sqref="F4"/>
    </sheetView>
  </sheetViews>
  <sheetFormatPr defaultRowHeight="15" x14ac:dyDescent="0.25"/>
  <cols>
    <col min="3" max="3" width="27.140625" customWidth="1"/>
  </cols>
  <sheetData>
    <row r="1" spans="1:20" ht="16.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1"/>
      <c r="P1" s="1"/>
      <c r="Q1" s="1"/>
      <c r="R1" s="1"/>
      <c r="S1" s="1"/>
      <c r="T1" s="1"/>
    </row>
    <row r="2" spans="1:20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  <c r="R2" s="1"/>
      <c r="S2" s="1"/>
      <c r="T2" s="1"/>
    </row>
    <row r="3" spans="1:20" ht="19.5" x14ac:dyDescent="0.3">
      <c r="A3" s="53" t="s">
        <v>52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1"/>
      <c r="P3" s="1"/>
      <c r="Q3" s="1"/>
      <c r="R3" s="1"/>
      <c r="S3" s="1"/>
      <c r="T3" s="1"/>
    </row>
    <row r="4" spans="1:20" ht="16.5" thickBot="1" x14ac:dyDescent="0.3">
      <c r="A4" s="54" t="s">
        <v>19</v>
      </c>
      <c r="B4" s="55"/>
      <c r="C4" s="56" t="s">
        <v>20</v>
      </c>
      <c r="D4" s="57"/>
      <c r="E4" s="57"/>
      <c r="F4" s="2" t="s">
        <v>53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  <c r="R4" s="1"/>
      <c r="S4" s="1"/>
      <c r="T4" s="1"/>
    </row>
    <row r="5" spans="1:20" ht="57" thickBot="1" x14ac:dyDescent="0.3">
      <c r="A5" s="6" t="s">
        <v>3</v>
      </c>
      <c r="B5" s="7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5" t="s">
        <v>12</v>
      </c>
      <c r="K5" s="17" t="s">
        <v>13</v>
      </c>
      <c r="L5" s="16" t="s">
        <v>14</v>
      </c>
      <c r="M5" s="9" t="s">
        <v>15</v>
      </c>
      <c r="N5" s="9" t="s">
        <v>16</v>
      </c>
      <c r="O5" s="1"/>
      <c r="P5" s="1"/>
      <c r="Q5" s="1"/>
      <c r="R5" s="1"/>
      <c r="S5" s="1"/>
      <c r="T5" s="1"/>
    </row>
    <row r="6" spans="1:20" x14ac:dyDescent="0.25">
      <c r="A6" s="10">
        <v>1</v>
      </c>
      <c r="B6" s="21">
        <v>19030095</v>
      </c>
      <c r="C6" s="22" t="s">
        <v>21</v>
      </c>
      <c r="D6" s="11"/>
      <c r="E6" s="12">
        <v>3</v>
      </c>
      <c r="F6" s="12">
        <v>5</v>
      </c>
      <c r="G6" s="12">
        <v>5</v>
      </c>
      <c r="H6" s="12">
        <v>2</v>
      </c>
      <c r="I6" s="13"/>
      <c r="J6" s="13">
        <f>I6/5</f>
        <v>0</v>
      </c>
      <c r="K6" s="18"/>
      <c r="L6" s="12">
        <f>K6/4</f>
        <v>0</v>
      </c>
      <c r="M6" s="12"/>
      <c r="N6" s="14">
        <f>E6+F6+G6+H6+J6+L6</f>
        <v>15</v>
      </c>
      <c r="O6" s="1"/>
      <c r="P6" s="1"/>
      <c r="Q6" s="1"/>
      <c r="R6" s="1"/>
      <c r="S6" s="1"/>
      <c r="T6" s="1"/>
    </row>
    <row r="7" spans="1:20" x14ac:dyDescent="0.25">
      <c r="A7" s="10">
        <v>2</v>
      </c>
      <c r="B7" s="21">
        <v>19030096</v>
      </c>
      <c r="C7" s="22" t="s">
        <v>22</v>
      </c>
      <c r="D7" s="11"/>
      <c r="E7" s="12">
        <v>3</v>
      </c>
      <c r="F7" s="12">
        <v>5</v>
      </c>
      <c r="G7" s="12">
        <v>5</v>
      </c>
      <c r="H7" s="12">
        <v>2</v>
      </c>
      <c r="I7" s="13"/>
      <c r="J7" s="13">
        <f t="shared" ref="J7:J36" si="0">I7/5</f>
        <v>0</v>
      </c>
      <c r="K7" s="12"/>
      <c r="L7" s="12">
        <f t="shared" ref="L7:L36" si="1">K7/4</f>
        <v>0</v>
      </c>
      <c r="M7" s="12"/>
      <c r="N7" s="14">
        <f t="shared" ref="N7:N36" si="2">E7+F7+G7+H7+J7+L7</f>
        <v>15</v>
      </c>
      <c r="O7" s="1"/>
      <c r="P7" s="1"/>
      <c r="Q7" s="1"/>
      <c r="R7" s="1"/>
      <c r="S7" s="1"/>
      <c r="T7" s="1"/>
    </row>
    <row r="8" spans="1:20" x14ac:dyDescent="0.25">
      <c r="A8" s="10">
        <v>3</v>
      </c>
      <c r="B8" s="21">
        <v>19030097</v>
      </c>
      <c r="C8" s="22" t="s">
        <v>23</v>
      </c>
      <c r="D8" s="11"/>
      <c r="E8" s="12">
        <v>3</v>
      </c>
      <c r="F8" s="12">
        <v>5</v>
      </c>
      <c r="G8" s="12">
        <v>5</v>
      </c>
      <c r="H8" s="12">
        <v>2</v>
      </c>
      <c r="I8" s="13"/>
      <c r="J8" s="13">
        <f t="shared" si="0"/>
        <v>0</v>
      </c>
      <c r="K8" s="12"/>
      <c r="L8" s="12">
        <f t="shared" si="1"/>
        <v>0</v>
      </c>
      <c r="M8" s="12"/>
      <c r="N8" s="14">
        <f t="shared" si="2"/>
        <v>15</v>
      </c>
      <c r="O8" s="1"/>
      <c r="P8" s="1"/>
      <c r="Q8" s="1"/>
      <c r="R8" s="1"/>
      <c r="S8" s="1"/>
      <c r="T8" s="1"/>
    </row>
    <row r="9" spans="1:20" x14ac:dyDescent="0.25">
      <c r="A9" s="10">
        <v>4</v>
      </c>
      <c r="B9" s="21">
        <v>19030098</v>
      </c>
      <c r="C9" s="22" t="s">
        <v>24</v>
      </c>
      <c r="D9" s="11"/>
      <c r="E9" s="12">
        <v>3</v>
      </c>
      <c r="F9" s="12">
        <v>5</v>
      </c>
      <c r="G9" s="12">
        <v>5</v>
      </c>
      <c r="H9" s="12">
        <v>2</v>
      </c>
      <c r="I9" s="13"/>
      <c r="J9" s="13">
        <f t="shared" si="0"/>
        <v>0</v>
      </c>
      <c r="K9" s="12"/>
      <c r="L9" s="12">
        <f t="shared" si="1"/>
        <v>0</v>
      </c>
      <c r="M9" s="12"/>
      <c r="N9" s="14">
        <f t="shared" si="2"/>
        <v>15</v>
      </c>
      <c r="O9" s="1"/>
      <c r="P9" s="1"/>
      <c r="Q9" s="1"/>
      <c r="R9" s="1"/>
      <c r="S9" s="1"/>
      <c r="T9" s="1"/>
    </row>
    <row r="10" spans="1:20" x14ac:dyDescent="0.25">
      <c r="A10" s="10">
        <v>5</v>
      </c>
      <c r="B10" s="21">
        <v>19030099</v>
      </c>
      <c r="C10" s="22" t="s">
        <v>25</v>
      </c>
      <c r="D10" s="11"/>
      <c r="E10" s="12">
        <v>3</v>
      </c>
      <c r="F10" s="12">
        <v>5</v>
      </c>
      <c r="G10" s="12">
        <v>5</v>
      </c>
      <c r="H10" s="12">
        <v>2</v>
      </c>
      <c r="I10" s="13"/>
      <c r="J10" s="13">
        <f t="shared" si="0"/>
        <v>0</v>
      </c>
      <c r="K10" s="12"/>
      <c r="L10" s="12">
        <f t="shared" si="1"/>
        <v>0</v>
      </c>
      <c r="M10" s="12"/>
      <c r="N10" s="14">
        <f t="shared" si="2"/>
        <v>15</v>
      </c>
      <c r="O10" s="1"/>
      <c r="P10" s="1"/>
      <c r="Q10" s="1"/>
      <c r="R10" s="1"/>
      <c r="S10" s="1"/>
      <c r="T10" s="1"/>
    </row>
    <row r="11" spans="1:20" x14ac:dyDescent="0.25">
      <c r="A11" s="10">
        <v>6</v>
      </c>
      <c r="B11" s="21">
        <v>19030100</v>
      </c>
      <c r="C11" s="22" t="s">
        <v>26</v>
      </c>
      <c r="D11" s="11"/>
      <c r="E11" s="12">
        <v>3</v>
      </c>
      <c r="F11" s="12">
        <v>5</v>
      </c>
      <c r="G11" s="12">
        <v>5</v>
      </c>
      <c r="H11" s="12">
        <v>2</v>
      </c>
      <c r="I11" s="13"/>
      <c r="J11" s="13">
        <f t="shared" si="0"/>
        <v>0</v>
      </c>
      <c r="K11" s="12"/>
      <c r="L11" s="12">
        <f t="shared" si="1"/>
        <v>0</v>
      </c>
      <c r="M11" s="12"/>
      <c r="N11" s="14">
        <f t="shared" si="2"/>
        <v>15</v>
      </c>
      <c r="O11" s="1"/>
      <c r="P11" s="1"/>
      <c r="Q11" s="1"/>
      <c r="R11" s="1"/>
      <c r="S11" s="1"/>
      <c r="T11" s="1"/>
    </row>
    <row r="12" spans="1:20" x14ac:dyDescent="0.25">
      <c r="A12" s="10">
        <v>7</v>
      </c>
      <c r="B12" s="21">
        <v>19030102</v>
      </c>
      <c r="C12" s="22" t="s">
        <v>27</v>
      </c>
      <c r="D12" s="11"/>
      <c r="E12" s="12">
        <v>3</v>
      </c>
      <c r="F12" s="12">
        <v>5</v>
      </c>
      <c r="G12" s="12">
        <v>5</v>
      </c>
      <c r="H12" s="12">
        <v>2</v>
      </c>
      <c r="I12" s="13"/>
      <c r="J12" s="13">
        <f t="shared" si="0"/>
        <v>0</v>
      </c>
      <c r="K12" s="12"/>
      <c r="L12" s="12">
        <f t="shared" si="1"/>
        <v>0</v>
      </c>
      <c r="M12" s="12"/>
      <c r="N12" s="14">
        <f t="shared" si="2"/>
        <v>15</v>
      </c>
      <c r="O12" s="1"/>
      <c r="P12" s="1"/>
      <c r="Q12" s="1"/>
      <c r="R12" s="1"/>
      <c r="S12" s="1"/>
      <c r="T12" s="1"/>
    </row>
    <row r="13" spans="1:20" x14ac:dyDescent="0.25">
      <c r="A13" s="10">
        <v>8</v>
      </c>
      <c r="B13" s="21">
        <v>19030103</v>
      </c>
      <c r="C13" s="22" t="s">
        <v>28</v>
      </c>
      <c r="D13" s="11"/>
      <c r="E13" s="12">
        <v>3</v>
      </c>
      <c r="F13" s="12">
        <v>5</v>
      </c>
      <c r="G13" s="12">
        <v>5</v>
      </c>
      <c r="H13" s="12">
        <v>2</v>
      </c>
      <c r="I13" s="13"/>
      <c r="J13" s="13">
        <f t="shared" si="0"/>
        <v>0</v>
      </c>
      <c r="K13" s="20"/>
      <c r="L13" s="12">
        <f t="shared" si="1"/>
        <v>0</v>
      </c>
      <c r="M13" s="12"/>
      <c r="N13" s="14">
        <f t="shared" si="2"/>
        <v>15</v>
      </c>
      <c r="O13" s="1"/>
      <c r="P13" s="1"/>
      <c r="Q13" s="1"/>
      <c r="R13" s="1"/>
      <c r="S13" s="1"/>
      <c r="T13" s="1"/>
    </row>
    <row r="14" spans="1:20" x14ac:dyDescent="0.25">
      <c r="A14" s="10">
        <v>9</v>
      </c>
      <c r="B14" s="21">
        <v>19030104</v>
      </c>
      <c r="C14" s="22" t="s">
        <v>29</v>
      </c>
      <c r="D14" s="11"/>
      <c r="E14" s="12">
        <v>3</v>
      </c>
      <c r="F14" s="12">
        <v>5</v>
      </c>
      <c r="G14" s="12">
        <v>5</v>
      </c>
      <c r="H14" s="12">
        <v>2</v>
      </c>
      <c r="I14" s="13"/>
      <c r="J14" s="13">
        <f t="shared" si="0"/>
        <v>0</v>
      </c>
      <c r="K14" s="20"/>
      <c r="L14" s="12">
        <f t="shared" si="1"/>
        <v>0</v>
      </c>
      <c r="M14" s="12"/>
      <c r="N14" s="14">
        <f t="shared" si="2"/>
        <v>15</v>
      </c>
      <c r="O14" s="1"/>
      <c r="P14" s="1"/>
      <c r="Q14" s="1"/>
      <c r="R14" s="1"/>
      <c r="S14" s="1"/>
      <c r="T14" s="1"/>
    </row>
    <row r="15" spans="1:20" x14ac:dyDescent="0.25">
      <c r="A15" s="10">
        <v>10</v>
      </c>
      <c r="B15" s="21">
        <v>19030105</v>
      </c>
      <c r="C15" s="22" t="s">
        <v>30</v>
      </c>
      <c r="D15" s="11"/>
      <c r="E15" s="12">
        <v>3</v>
      </c>
      <c r="F15" s="12">
        <v>5</v>
      </c>
      <c r="G15" s="12">
        <v>5</v>
      </c>
      <c r="H15" s="12">
        <v>2</v>
      </c>
      <c r="I15" s="13"/>
      <c r="J15" s="13">
        <f t="shared" si="0"/>
        <v>0</v>
      </c>
      <c r="K15" s="19"/>
      <c r="L15" s="12">
        <f t="shared" si="1"/>
        <v>0</v>
      </c>
      <c r="M15" s="12"/>
      <c r="N15" s="14">
        <f t="shared" si="2"/>
        <v>15</v>
      </c>
      <c r="O15" s="1"/>
      <c r="P15" s="1"/>
      <c r="Q15" s="1"/>
      <c r="R15" s="1"/>
      <c r="S15" s="1"/>
      <c r="T15" s="1"/>
    </row>
    <row r="16" spans="1:20" x14ac:dyDescent="0.25">
      <c r="A16" s="10">
        <v>11</v>
      </c>
      <c r="B16" s="21">
        <v>19030106</v>
      </c>
      <c r="C16" s="22" t="s">
        <v>31</v>
      </c>
      <c r="D16" s="11"/>
      <c r="E16" s="12">
        <v>3</v>
      </c>
      <c r="F16" s="12">
        <v>5</v>
      </c>
      <c r="G16" s="12">
        <v>5</v>
      </c>
      <c r="H16" s="12">
        <v>2</v>
      </c>
      <c r="I16" s="13"/>
      <c r="J16" s="13">
        <f t="shared" si="0"/>
        <v>0</v>
      </c>
      <c r="K16" s="20"/>
      <c r="L16" s="12">
        <f t="shared" si="1"/>
        <v>0</v>
      </c>
      <c r="M16" s="12"/>
      <c r="N16" s="14">
        <f t="shared" si="2"/>
        <v>15</v>
      </c>
      <c r="O16" s="1"/>
      <c r="P16" s="1"/>
      <c r="Q16" s="1"/>
      <c r="R16" s="1"/>
      <c r="S16" s="1"/>
      <c r="T16" s="1"/>
    </row>
    <row r="17" spans="1:20" x14ac:dyDescent="0.25">
      <c r="A17" s="10">
        <v>12</v>
      </c>
      <c r="B17" s="21">
        <v>19030107</v>
      </c>
      <c r="C17" s="22" t="s">
        <v>32</v>
      </c>
      <c r="D17" s="11"/>
      <c r="E17" s="12">
        <v>3</v>
      </c>
      <c r="F17" s="12">
        <v>5</v>
      </c>
      <c r="G17" s="12">
        <v>5</v>
      </c>
      <c r="H17" s="12">
        <v>2</v>
      </c>
      <c r="I17" s="13"/>
      <c r="J17" s="13">
        <f t="shared" si="0"/>
        <v>0</v>
      </c>
      <c r="K17" s="19"/>
      <c r="L17" s="12">
        <f t="shared" si="1"/>
        <v>0</v>
      </c>
      <c r="M17" s="12"/>
      <c r="N17" s="14">
        <f t="shared" si="2"/>
        <v>15</v>
      </c>
      <c r="O17" s="1"/>
      <c r="P17" s="1"/>
      <c r="Q17" s="1"/>
      <c r="R17" s="1"/>
      <c r="S17" s="1"/>
      <c r="T17" s="1"/>
    </row>
    <row r="18" spans="1:20" x14ac:dyDescent="0.25">
      <c r="A18" s="10">
        <v>13</v>
      </c>
      <c r="B18" s="21">
        <v>19030110</v>
      </c>
      <c r="C18" s="22" t="s">
        <v>33</v>
      </c>
      <c r="D18" s="11"/>
      <c r="E18" s="12">
        <v>3</v>
      </c>
      <c r="F18" s="12">
        <v>5</v>
      </c>
      <c r="G18" s="12">
        <v>5</v>
      </c>
      <c r="H18" s="12">
        <v>2</v>
      </c>
      <c r="I18" s="13"/>
      <c r="J18" s="13">
        <f t="shared" si="0"/>
        <v>0</v>
      </c>
      <c r="K18" s="20"/>
      <c r="L18" s="12">
        <f t="shared" si="1"/>
        <v>0</v>
      </c>
      <c r="M18" s="12"/>
      <c r="N18" s="14">
        <f t="shared" si="2"/>
        <v>15</v>
      </c>
      <c r="O18" s="1"/>
      <c r="P18" s="1"/>
      <c r="Q18" s="1"/>
      <c r="R18" s="1"/>
      <c r="S18" s="1"/>
      <c r="T18" s="1"/>
    </row>
    <row r="19" spans="1:20" x14ac:dyDescent="0.25">
      <c r="A19" s="10">
        <v>14</v>
      </c>
      <c r="B19" s="21">
        <v>19030112</v>
      </c>
      <c r="C19" s="22" t="s">
        <v>34</v>
      </c>
      <c r="D19" s="11"/>
      <c r="E19" s="12">
        <v>3</v>
      </c>
      <c r="F19" s="12">
        <v>5</v>
      </c>
      <c r="G19" s="12">
        <v>5</v>
      </c>
      <c r="H19" s="12">
        <v>2</v>
      </c>
      <c r="I19" s="13"/>
      <c r="J19" s="13">
        <f t="shared" si="0"/>
        <v>0</v>
      </c>
      <c r="K19" s="19"/>
      <c r="L19" s="12">
        <f t="shared" si="1"/>
        <v>0</v>
      </c>
      <c r="M19" s="12"/>
      <c r="N19" s="14">
        <f t="shared" si="2"/>
        <v>15</v>
      </c>
      <c r="O19" s="1"/>
      <c r="P19" s="1"/>
      <c r="Q19" s="1"/>
      <c r="R19" s="1"/>
      <c r="S19" s="1"/>
      <c r="T19" s="1"/>
    </row>
    <row r="20" spans="1:20" x14ac:dyDescent="0.25">
      <c r="A20" s="10">
        <v>15</v>
      </c>
      <c r="B20" s="21">
        <v>19030113</v>
      </c>
      <c r="C20" s="22" t="s">
        <v>35</v>
      </c>
      <c r="D20" s="11"/>
      <c r="E20" s="12">
        <v>3</v>
      </c>
      <c r="F20" s="12">
        <v>5</v>
      </c>
      <c r="G20" s="12">
        <v>5</v>
      </c>
      <c r="H20" s="12">
        <v>2</v>
      </c>
      <c r="I20" s="13"/>
      <c r="J20" s="13">
        <f t="shared" si="0"/>
        <v>0</v>
      </c>
      <c r="K20" s="19"/>
      <c r="L20" s="12">
        <f t="shared" si="1"/>
        <v>0</v>
      </c>
      <c r="M20" s="12"/>
      <c r="N20" s="14">
        <f t="shared" si="2"/>
        <v>15</v>
      </c>
      <c r="O20" s="1"/>
      <c r="P20" s="1"/>
      <c r="Q20" s="1"/>
      <c r="R20" s="1"/>
      <c r="S20" s="1"/>
      <c r="T20" s="1"/>
    </row>
    <row r="21" spans="1:20" x14ac:dyDescent="0.25">
      <c r="A21" s="10">
        <v>16</v>
      </c>
      <c r="B21" s="21">
        <v>19030114</v>
      </c>
      <c r="C21" s="22" t="s">
        <v>36</v>
      </c>
      <c r="D21" s="11"/>
      <c r="E21" s="12">
        <v>3</v>
      </c>
      <c r="F21" s="12">
        <v>5</v>
      </c>
      <c r="G21" s="12">
        <v>5</v>
      </c>
      <c r="H21" s="12">
        <v>2</v>
      </c>
      <c r="I21" s="13"/>
      <c r="J21" s="13">
        <f t="shared" si="0"/>
        <v>0</v>
      </c>
      <c r="K21" s="20"/>
      <c r="L21" s="12">
        <f t="shared" si="1"/>
        <v>0</v>
      </c>
      <c r="M21" s="12"/>
      <c r="N21" s="14">
        <f t="shared" si="2"/>
        <v>15</v>
      </c>
      <c r="O21" s="1"/>
      <c r="P21" s="1"/>
      <c r="Q21" s="1"/>
      <c r="R21" s="1"/>
      <c r="S21" s="1"/>
      <c r="T21" s="1"/>
    </row>
    <row r="22" spans="1:20" x14ac:dyDescent="0.25">
      <c r="A22" s="10">
        <v>17</v>
      </c>
      <c r="B22" s="21">
        <v>19030115</v>
      </c>
      <c r="C22" s="22" t="s">
        <v>37</v>
      </c>
      <c r="D22" s="11"/>
      <c r="E22" s="12">
        <v>3</v>
      </c>
      <c r="F22" s="12">
        <v>5</v>
      </c>
      <c r="G22" s="12">
        <v>5</v>
      </c>
      <c r="H22" s="12">
        <v>2</v>
      </c>
      <c r="I22" s="13"/>
      <c r="J22" s="13">
        <f t="shared" si="0"/>
        <v>0</v>
      </c>
      <c r="K22" s="20"/>
      <c r="L22" s="12">
        <f t="shared" si="1"/>
        <v>0</v>
      </c>
      <c r="M22" s="12"/>
      <c r="N22" s="14">
        <f t="shared" si="2"/>
        <v>15</v>
      </c>
      <c r="O22" s="1"/>
      <c r="P22" s="1"/>
      <c r="Q22" s="1"/>
      <c r="R22" s="1"/>
      <c r="S22" s="1"/>
      <c r="T22" s="1"/>
    </row>
    <row r="23" spans="1:20" x14ac:dyDescent="0.25">
      <c r="A23" s="10">
        <v>18</v>
      </c>
      <c r="B23" s="21">
        <v>19030117</v>
      </c>
      <c r="C23" s="22" t="s">
        <v>38</v>
      </c>
      <c r="D23" s="11"/>
      <c r="E23" s="12">
        <v>3</v>
      </c>
      <c r="F23" s="12">
        <v>5</v>
      </c>
      <c r="G23" s="12">
        <v>5</v>
      </c>
      <c r="H23" s="12">
        <v>2</v>
      </c>
      <c r="I23" s="13"/>
      <c r="J23" s="13">
        <f t="shared" si="0"/>
        <v>0</v>
      </c>
      <c r="K23" s="19"/>
      <c r="L23" s="12">
        <f t="shared" si="1"/>
        <v>0</v>
      </c>
      <c r="M23" s="12"/>
      <c r="N23" s="14">
        <f t="shared" si="2"/>
        <v>15</v>
      </c>
      <c r="O23" s="1"/>
      <c r="P23" s="1"/>
      <c r="Q23" s="1"/>
      <c r="R23" s="1"/>
      <c r="S23" s="1"/>
      <c r="T23" s="1"/>
    </row>
    <row r="24" spans="1:20" x14ac:dyDescent="0.25">
      <c r="A24" s="10">
        <v>19</v>
      </c>
      <c r="B24" s="21">
        <v>19030118</v>
      </c>
      <c r="C24" s="22" t="s">
        <v>39</v>
      </c>
      <c r="D24" s="11"/>
      <c r="E24" s="12">
        <v>3</v>
      </c>
      <c r="F24" s="12">
        <v>5</v>
      </c>
      <c r="G24" s="12">
        <v>5</v>
      </c>
      <c r="H24" s="12">
        <v>2</v>
      </c>
      <c r="I24" s="13"/>
      <c r="J24" s="13">
        <f t="shared" si="0"/>
        <v>0</v>
      </c>
      <c r="K24" s="20"/>
      <c r="L24" s="12">
        <f t="shared" si="1"/>
        <v>0</v>
      </c>
      <c r="M24" s="12"/>
      <c r="N24" s="14">
        <f t="shared" si="2"/>
        <v>15</v>
      </c>
      <c r="O24" s="1"/>
      <c r="P24" s="1"/>
      <c r="Q24" s="1"/>
      <c r="R24" s="1"/>
      <c r="S24" s="1"/>
      <c r="T24" s="1"/>
    </row>
    <row r="25" spans="1:20" x14ac:dyDescent="0.25">
      <c r="A25" s="10">
        <v>20</v>
      </c>
      <c r="B25" s="21">
        <v>19030119</v>
      </c>
      <c r="C25" s="22" t="s">
        <v>40</v>
      </c>
      <c r="D25" s="11"/>
      <c r="E25" s="12">
        <v>3</v>
      </c>
      <c r="F25" s="12">
        <v>5</v>
      </c>
      <c r="G25" s="12">
        <v>5</v>
      </c>
      <c r="H25" s="12">
        <v>2</v>
      </c>
      <c r="I25" s="13"/>
      <c r="J25" s="13">
        <f t="shared" si="0"/>
        <v>0</v>
      </c>
      <c r="K25" s="19"/>
      <c r="L25" s="12">
        <f t="shared" si="1"/>
        <v>0</v>
      </c>
      <c r="M25" s="12"/>
      <c r="N25" s="14">
        <f t="shared" si="2"/>
        <v>15</v>
      </c>
      <c r="O25" s="1"/>
      <c r="P25" s="1"/>
      <c r="Q25" s="1"/>
      <c r="R25" s="1"/>
      <c r="S25" s="1"/>
      <c r="T25" s="1"/>
    </row>
    <row r="26" spans="1:20" x14ac:dyDescent="0.25">
      <c r="A26" s="10">
        <v>21</v>
      </c>
      <c r="B26" s="21">
        <v>19030120</v>
      </c>
      <c r="C26" s="22" t="s">
        <v>41</v>
      </c>
      <c r="D26" s="11"/>
      <c r="E26" s="12">
        <v>3</v>
      </c>
      <c r="F26" s="12">
        <v>5</v>
      </c>
      <c r="G26" s="12">
        <v>5</v>
      </c>
      <c r="H26" s="12">
        <v>2</v>
      </c>
      <c r="I26" s="13"/>
      <c r="J26" s="13">
        <f t="shared" si="0"/>
        <v>0</v>
      </c>
      <c r="K26" s="19"/>
      <c r="L26" s="12">
        <f t="shared" si="1"/>
        <v>0</v>
      </c>
      <c r="M26" s="12"/>
      <c r="N26" s="14">
        <f t="shared" si="2"/>
        <v>15</v>
      </c>
      <c r="O26" s="1"/>
      <c r="P26" s="1"/>
      <c r="Q26" s="1"/>
      <c r="R26" s="1"/>
      <c r="S26" s="1"/>
      <c r="T26" s="1"/>
    </row>
    <row r="27" spans="1:20" x14ac:dyDescent="0.25">
      <c r="A27" s="10">
        <v>22</v>
      </c>
      <c r="B27" s="21">
        <v>19030121</v>
      </c>
      <c r="C27" s="22" t="s">
        <v>42</v>
      </c>
      <c r="D27" s="11"/>
      <c r="E27" s="12">
        <v>3</v>
      </c>
      <c r="F27" s="12">
        <v>5</v>
      </c>
      <c r="G27" s="12">
        <v>5</v>
      </c>
      <c r="H27" s="12">
        <v>2</v>
      </c>
      <c r="I27" s="13"/>
      <c r="J27" s="13">
        <f t="shared" si="0"/>
        <v>0</v>
      </c>
      <c r="K27" s="20"/>
      <c r="L27" s="12">
        <f t="shared" si="1"/>
        <v>0</v>
      </c>
      <c r="M27" s="12"/>
      <c r="N27" s="14">
        <f t="shared" si="2"/>
        <v>15</v>
      </c>
      <c r="O27" s="1"/>
      <c r="P27" s="1"/>
      <c r="Q27" s="1"/>
      <c r="R27" s="1"/>
      <c r="S27" s="1"/>
      <c r="T27" s="1"/>
    </row>
    <row r="28" spans="1:20" x14ac:dyDescent="0.25">
      <c r="A28" s="10">
        <v>23</v>
      </c>
      <c r="B28" s="21">
        <v>19030122</v>
      </c>
      <c r="C28" s="22" t="s">
        <v>43</v>
      </c>
      <c r="D28" s="11"/>
      <c r="E28" s="12">
        <v>3</v>
      </c>
      <c r="F28" s="12">
        <v>5</v>
      </c>
      <c r="G28" s="12">
        <v>5</v>
      </c>
      <c r="H28" s="12">
        <v>2</v>
      </c>
      <c r="I28" s="13"/>
      <c r="J28" s="13">
        <f t="shared" si="0"/>
        <v>0</v>
      </c>
      <c r="K28" s="20"/>
      <c r="L28" s="12">
        <f t="shared" si="1"/>
        <v>0</v>
      </c>
      <c r="M28" s="12"/>
      <c r="N28" s="14">
        <f t="shared" si="2"/>
        <v>15</v>
      </c>
      <c r="O28" s="1"/>
      <c r="P28" s="1"/>
      <c r="Q28" s="1"/>
      <c r="R28" s="1"/>
      <c r="S28" s="1"/>
      <c r="T28" s="1"/>
    </row>
    <row r="29" spans="1:20" x14ac:dyDescent="0.25">
      <c r="A29" s="10">
        <v>24</v>
      </c>
      <c r="B29" s="21">
        <v>19030124</v>
      </c>
      <c r="C29" s="22" t="s">
        <v>44</v>
      </c>
      <c r="D29" s="11"/>
      <c r="E29" s="12">
        <v>3</v>
      </c>
      <c r="F29" s="12">
        <v>5</v>
      </c>
      <c r="G29" s="12">
        <v>5</v>
      </c>
      <c r="H29" s="12">
        <v>2</v>
      </c>
      <c r="I29" s="13"/>
      <c r="J29" s="13">
        <f t="shared" si="0"/>
        <v>0</v>
      </c>
      <c r="K29" s="19"/>
      <c r="L29" s="12">
        <f t="shared" si="1"/>
        <v>0</v>
      </c>
      <c r="M29" s="12"/>
      <c r="N29" s="14">
        <f t="shared" si="2"/>
        <v>15</v>
      </c>
      <c r="O29" s="1"/>
      <c r="P29" s="1"/>
      <c r="Q29" s="1"/>
      <c r="R29" s="1"/>
      <c r="S29" s="1"/>
      <c r="T29" s="1"/>
    </row>
    <row r="30" spans="1:20" x14ac:dyDescent="0.25">
      <c r="A30" s="10">
        <v>25</v>
      </c>
      <c r="B30" s="21">
        <v>19030126</v>
      </c>
      <c r="C30" s="22" t="s">
        <v>45</v>
      </c>
      <c r="D30" s="11"/>
      <c r="E30" s="12">
        <v>3</v>
      </c>
      <c r="F30" s="12">
        <v>5</v>
      </c>
      <c r="G30" s="12">
        <v>5</v>
      </c>
      <c r="H30" s="12">
        <v>2</v>
      </c>
      <c r="I30" s="13"/>
      <c r="J30" s="13">
        <f t="shared" si="0"/>
        <v>0</v>
      </c>
      <c r="K30" s="12"/>
      <c r="L30" s="12">
        <f t="shared" si="1"/>
        <v>0</v>
      </c>
      <c r="M30" s="12"/>
      <c r="N30" s="14">
        <f t="shared" si="2"/>
        <v>15</v>
      </c>
      <c r="O30" s="1"/>
      <c r="P30" s="1"/>
      <c r="Q30" s="1"/>
      <c r="R30" s="1"/>
      <c r="S30" s="1"/>
      <c r="T30" s="1"/>
    </row>
    <row r="31" spans="1:20" x14ac:dyDescent="0.25">
      <c r="A31" s="10">
        <v>26</v>
      </c>
      <c r="B31" s="21">
        <v>19030129</v>
      </c>
      <c r="C31" s="22" t="s">
        <v>46</v>
      </c>
      <c r="D31" s="11"/>
      <c r="E31" s="12">
        <v>3</v>
      </c>
      <c r="F31" s="12">
        <v>5</v>
      </c>
      <c r="G31" s="12">
        <v>5</v>
      </c>
      <c r="H31" s="12">
        <v>2</v>
      </c>
      <c r="I31" s="13"/>
      <c r="J31" s="13">
        <f t="shared" si="0"/>
        <v>0</v>
      </c>
      <c r="K31" s="12"/>
      <c r="L31" s="12">
        <f t="shared" si="1"/>
        <v>0</v>
      </c>
      <c r="M31" s="12"/>
      <c r="N31" s="14">
        <f t="shared" si="2"/>
        <v>15</v>
      </c>
      <c r="O31" s="1"/>
      <c r="P31" s="1"/>
      <c r="Q31" s="1"/>
      <c r="R31" s="1"/>
      <c r="S31" s="1"/>
      <c r="T31" s="1"/>
    </row>
    <row r="32" spans="1:20" x14ac:dyDescent="0.25">
      <c r="A32" s="10">
        <v>27</v>
      </c>
      <c r="B32" s="21">
        <v>19030130</v>
      </c>
      <c r="C32" s="22" t="s">
        <v>47</v>
      </c>
      <c r="D32" s="11"/>
      <c r="E32" s="12">
        <v>3</v>
      </c>
      <c r="F32" s="12">
        <v>5</v>
      </c>
      <c r="G32" s="12">
        <v>5</v>
      </c>
      <c r="H32" s="12">
        <v>2</v>
      </c>
      <c r="I32" s="13"/>
      <c r="J32" s="13">
        <f t="shared" si="0"/>
        <v>0</v>
      </c>
      <c r="K32" s="19"/>
      <c r="L32" s="12">
        <f t="shared" si="1"/>
        <v>0</v>
      </c>
      <c r="M32" s="12"/>
      <c r="N32" s="14">
        <f t="shared" si="2"/>
        <v>15</v>
      </c>
      <c r="O32" s="1"/>
      <c r="P32" s="1"/>
      <c r="Q32" s="1"/>
      <c r="R32" s="1"/>
      <c r="S32" s="1"/>
      <c r="T32" s="1"/>
    </row>
    <row r="33" spans="1:20" x14ac:dyDescent="0.25">
      <c r="A33" s="10">
        <v>28</v>
      </c>
      <c r="B33" s="21">
        <v>19030131</v>
      </c>
      <c r="C33" s="22" t="s">
        <v>48</v>
      </c>
      <c r="D33" s="11"/>
      <c r="E33" s="12">
        <v>3</v>
      </c>
      <c r="F33" s="12">
        <v>5</v>
      </c>
      <c r="G33" s="12">
        <v>5</v>
      </c>
      <c r="H33" s="12">
        <v>2</v>
      </c>
      <c r="I33" s="13"/>
      <c r="J33" s="13">
        <f t="shared" si="0"/>
        <v>0</v>
      </c>
      <c r="K33" s="12"/>
      <c r="L33" s="12">
        <f t="shared" si="1"/>
        <v>0</v>
      </c>
      <c r="M33" s="12"/>
      <c r="N33" s="14">
        <f t="shared" si="2"/>
        <v>15</v>
      </c>
      <c r="O33" s="1"/>
      <c r="P33" s="1"/>
      <c r="Q33" s="1"/>
      <c r="R33" s="1"/>
      <c r="S33" s="1"/>
      <c r="T33" s="1"/>
    </row>
    <row r="34" spans="1:20" x14ac:dyDescent="0.25">
      <c r="A34" s="10">
        <v>29</v>
      </c>
      <c r="B34" s="21">
        <v>19030132</v>
      </c>
      <c r="C34" s="22" t="s">
        <v>49</v>
      </c>
      <c r="D34" s="11"/>
      <c r="E34" s="12">
        <v>3</v>
      </c>
      <c r="F34" s="12">
        <v>5</v>
      </c>
      <c r="G34" s="12">
        <v>5</v>
      </c>
      <c r="H34" s="12">
        <v>2</v>
      </c>
      <c r="I34" s="13"/>
      <c r="J34" s="13">
        <f t="shared" si="0"/>
        <v>0</v>
      </c>
      <c r="K34" s="12"/>
      <c r="L34" s="12">
        <f t="shared" si="1"/>
        <v>0</v>
      </c>
      <c r="M34" s="12"/>
      <c r="N34" s="14">
        <f t="shared" si="2"/>
        <v>15</v>
      </c>
      <c r="O34" s="1"/>
      <c r="P34" s="1"/>
      <c r="Q34" s="1"/>
      <c r="R34" s="1"/>
      <c r="S34" s="1"/>
      <c r="T34" s="1"/>
    </row>
    <row r="35" spans="1:20" x14ac:dyDescent="0.25">
      <c r="A35" s="10">
        <v>30</v>
      </c>
      <c r="B35" s="21">
        <v>19030133</v>
      </c>
      <c r="C35" s="22" t="s">
        <v>50</v>
      </c>
      <c r="D35" s="11"/>
      <c r="E35" s="12">
        <v>3</v>
      </c>
      <c r="F35" s="12">
        <v>5</v>
      </c>
      <c r="G35" s="12">
        <v>5</v>
      </c>
      <c r="H35" s="12">
        <v>2</v>
      </c>
      <c r="I35" s="13"/>
      <c r="J35" s="13">
        <f t="shared" si="0"/>
        <v>0</v>
      </c>
      <c r="K35" s="12"/>
      <c r="L35" s="12">
        <f t="shared" si="1"/>
        <v>0</v>
      </c>
      <c r="M35" s="12"/>
      <c r="N35" s="14">
        <f t="shared" si="2"/>
        <v>15</v>
      </c>
      <c r="O35" s="1"/>
      <c r="P35" s="1"/>
      <c r="Q35" s="1"/>
      <c r="R35" s="1"/>
      <c r="S35" s="1"/>
      <c r="T35" s="1"/>
    </row>
    <row r="36" spans="1:20" x14ac:dyDescent="0.25">
      <c r="A36" s="10">
        <v>31</v>
      </c>
      <c r="B36" s="21">
        <v>19032648</v>
      </c>
      <c r="C36" s="22" t="s">
        <v>51</v>
      </c>
      <c r="D36" s="11"/>
      <c r="E36" s="12">
        <v>3</v>
      </c>
      <c r="F36" s="12">
        <v>5</v>
      </c>
      <c r="G36" s="12">
        <v>5</v>
      </c>
      <c r="H36" s="12">
        <v>2</v>
      </c>
      <c r="I36" s="12"/>
      <c r="J36" s="13">
        <f t="shared" si="0"/>
        <v>0</v>
      </c>
      <c r="K36" s="12"/>
      <c r="L36" s="12">
        <f t="shared" si="1"/>
        <v>0</v>
      </c>
      <c r="M36" s="12"/>
      <c r="N36" s="14">
        <f t="shared" si="2"/>
        <v>15</v>
      </c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0" t="s">
        <v>17</v>
      </c>
      <c r="M38" s="50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0" t="s">
        <v>18</v>
      </c>
      <c r="M39" s="50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</sheetData>
  <mergeCells count="7">
    <mergeCell ref="L38:M38"/>
    <mergeCell ref="L39:M39"/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2"/>
  <sheetViews>
    <sheetView topLeftCell="A16" workbookViewId="0">
      <selection activeCell="C36" sqref="C36"/>
    </sheetView>
  </sheetViews>
  <sheetFormatPr defaultRowHeight="15" x14ac:dyDescent="0.25"/>
  <cols>
    <col min="3" max="3" width="24.42578125" customWidth="1"/>
  </cols>
  <sheetData>
    <row r="1" spans="1:17" ht="16.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1"/>
      <c r="P1" s="1"/>
      <c r="Q1" s="1"/>
    </row>
    <row r="2" spans="1:17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</row>
    <row r="3" spans="1:17" ht="19.5" x14ac:dyDescent="0.3">
      <c r="A3" s="53" t="s">
        <v>52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1"/>
      <c r="P3" s="1"/>
      <c r="Q3" s="1"/>
    </row>
    <row r="4" spans="1:17" ht="16.5" thickBot="1" x14ac:dyDescent="0.3">
      <c r="A4" s="54" t="s">
        <v>19</v>
      </c>
      <c r="B4" s="55"/>
      <c r="C4" s="56" t="s">
        <v>20</v>
      </c>
      <c r="D4" s="57"/>
      <c r="E4" s="57"/>
      <c r="F4" s="2" t="s">
        <v>54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</row>
    <row r="5" spans="1:17" ht="57" thickBot="1" x14ac:dyDescent="0.3">
      <c r="A5" s="6" t="s">
        <v>3</v>
      </c>
      <c r="B5" s="7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5" t="s">
        <v>12</v>
      </c>
      <c r="K5" s="17" t="s">
        <v>13</v>
      </c>
      <c r="L5" s="16" t="s">
        <v>14</v>
      </c>
      <c r="M5" s="9" t="s">
        <v>15</v>
      </c>
      <c r="N5" s="9" t="s">
        <v>16</v>
      </c>
      <c r="O5" s="1"/>
      <c r="P5" s="1"/>
      <c r="Q5" s="1"/>
    </row>
    <row r="6" spans="1:17" x14ac:dyDescent="0.25">
      <c r="A6" s="10">
        <v>1</v>
      </c>
      <c r="B6" s="12">
        <v>21033075</v>
      </c>
      <c r="C6" s="23" t="s">
        <v>55</v>
      </c>
      <c r="D6" s="11"/>
      <c r="E6" s="12">
        <v>3</v>
      </c>
      <c r="F6" s="12">
        <v>5</v>
      </c>
      <c r="G6" s="12">
        <v>5</v>
      </c>
      <c r="H6" s="12">
        <v>2</v>
      </c>
      <c r="I6" s="13"/>
      <c r="J6" s="13">
        <f>I6/5</f>
        <v>0</v>
      </c>
      <c r="K6" s="18"/>
      <c r="L6" s="12">
        <f>K6/4</f>
        <v>0</v>
      </c>
      <c r="M6" s="12"/>
      <c r="N6" s="14">
        <f>E6+F6+G6+H6+J6+L6</f>
        <v>15</v>
      </c>
      <c r="O6" s="1"/>
      <c r="P6" s="1"/>
      <c r="Q6" s="1"/>
    </row>
    <row r="7" spans="1:17" x14ac:dyDescent="0.25">
      <c r="A7" s="10">
        <v>2</v>
      </c>
      <c r="B7" s="12">
        <v>21033077</v>
      </c>
      <c r="C7" s="23" t="s">
        <v>56</v>
      </c>
      <c r="D7" s="11"/>
      <c r="E7" s="12">
        <v>3</v>
      </c>
      <c r="F7" s="12">
        <v>5</v>
      </c>
      <c r="G7" s="12">
        <v>5</v>
      </c>
      <c r="H7" s="12">
        <v>2</v>
      </c>
      <c r="I7" s="13"/>
      <c r="J7" s="13">
        <f t="shared" ref="J7:J34" si="0">I7/5</f>
        <v>0</v>
      </c>
      <c r="K7" s="12"/>
      <c r="L7" s="12">
        <f t="shared" ref="L7:L34" si="1">K7/4</f>
        <v>0</v>
      </c>
      <c r="M7" s="12"/>
      <c r="N7" s="14">
        <f t="shared" ref="N7:N36" si="2">E7+F7+G7+H7+J7+L7</f>
        <v>15</v>
      </c>
      <c r="O7" s="1"/>
      <c r="P7" s="1"/>
      <c r="Q7" s="1"/>
    </row>
    <row r="8" spans="1:17" x14ac:dyDescent="0.25">
      <c r="A8" s="10">
        <v>3</v>
      </c>
      <c r="B8" s="12">
        <v>21033078</v>
      </c>
      <c r="C8" s="23" t="s">
        <v>57</v>
      </c>
      <c r="D8" s="11"/>
      <c r="E8" s="12">
        <v>3</v>
      </c>
      <c r="F8" s="12">
        <v>5</v>
      </c>
      <c r="G8" s="12">
        <v>5</v>
      </c>
      <c r="H8" s="12">
        <v>2</v>
      </c>
      <c r="I8" s="13"/>
      <c r="J8" s="13">
        <f t="shared" si="0"/>
        <v>0</v>
      </c>
      <c r="K8" s="12"/>
      <c r="L8" s="12">
        <f t="shared" si="1"/>
        <v>0</v>
      </c>
      <c r="M8" s="12"/>
      <c r="N8" s="14">
        <f t="shared" si="2"/>
        <v>15</v>
      </c>
      <c r="O8" s="1"/>
      <c r="P8" s="1"/>
      <c r="Q8" s="1"/>
    </row>
    <row r="9" spans="1:17" x14ac:dyDescent="0.25">
      <c r="A9" s="10">
        <v>4</v>
      </c>
      <c r="B9" s="12">
        <v>21033080</v>
      </c>
      <c r="C9" s="23" t="s">
        <v>58</v>
      </c>
      <c r="D9" s="11"/>
      <c r="E9" s="12">
        <v>3</v>
      </c>
      <c r="F9" s="12">
        <v>5</v>
      </c>
      <c r="G9" s="12">
        <v>5</v>
      </c>
      <c r="H9" s="12">
        <v>2</v>
      </c>
      <c r="I9" s="13"/>
      <c r="J9" s="13">
        <f t="shared" si="0"/>
        <v>0</v>
      </c>
      <c r="K9" s="12"/>
      <c r="L9" s="12">
        <f t="shared" si="1"/>
        <v>0</v>
      </c>
      <c r="M9" s="12"/>
      <c r="N9" s="14">
        <f t="shared" si="2"/>
        <v>15</v>
      </c>
      <c r="O9" s="1"/>
      <c r="P9" s="1"/>
      <c r="Q9" s="1"/>
    </row>
    <row r="10" spans="1:17" x14ac:dyDescent="0.25">
      <c r="A10" s="10">
        <v>5</v>
      </c>
      <c r="B10" s="12">
        <v>21033082</v>
      </c>
      <c r="C10" s="23" t="s">
        <v>59</v>
      </c>
      <c r="D10" s="11"/>
      <c r="E10" s="12">
        <v>3</v>
      </c>
      <c r="F10" s="12">
        <v>5</v>
      </c>
      <c r="G10" s="12">
        <v>5</v>
      </c>
      <c r="H10" s="12">
        <v>2</v>
      </c>
      <c r="I10" s="13"/>
      <c r="J10" s="13">
        <f t="shared" si="0"/>
        <v>0</v>
      </c>
      <c r="K10" s="12"/>
      <c r="L10" s="12">
        <f t="shared" si="1"/>
        <v>0</v>
      </c>
      <c r="M10" s="12"/>
      <c r="N10" s="14">
        <f t="shared" si="2"/>
        <v>15</v>
      </c>
      <c r="O10" s="1"/>
      <c r="P10" s="1"/>
      <c r="Q10" s="1"/>
    </row>
    <row r="11" spans="1:17" x14ac:dyDescent="0.25">
      <c r="A11" s="10">
        <v>6</v>
      </c>
      <c r="B11" s="12">
        <v>21033084</v>
      </c>
      <c r="C11" s="23" t="s">
        <v>60</v>
      </c>
      <c r="D11" s="11"/>
      <c r="E11" s="12">
        <v>3</v>
      </c>
      <c r="F11" s="12">
        <v>5</v>
      </c>
      <c r="G11" s="12">
        <v>5</v>
      </c>
      <c r="H11" s="12">
        <v>2</v>
      </c>
      <c r="I11" s="13"/>
      <c r="J11" s="13">
        <f t="shared" si="0"/>
        <v>0</v>
      </c>
      <c r="K11" s="12"/>
      <c r="L11" s="12">
        <f t="shared" si="1"/>
        <v>0</v>
      </c>
      <c r="M11" s="12"/>
      <c r="N11" s="14">
        <f t="shared" si="2"/>
        <v>15</v>
      </c>
      <c r="O11" s="1"/>
      <c r="P11" s="1"/>
      <c r="Q11" s="1"/>
    </row>
    <row r="12" spans="1:17" x14ac:dyDescent="0.25">
      <c r="A12" s="10">
        <v>7</v>
      </c>
      <c r="B12" s="12">
        <v>21033087</v>
      </c>
      <c r="C12" s="23" t="s">
        <v>61</v>
      </c>
      <c r="D12" s="11"/>
      <c r="E12" s="12">
        <v>3</v>
      </c>
      <c r="F12" s="12">
        <v>5</v>
      </c>
      <c r="G12" s="12">
        <v>5</v>
      </c>
      <c r="H12" s="12">
        <v>2</v>
      </c>
      <c r="I12" s="13"/>
      <c r="J12" s="13">
        <f t="shared" si="0"/>
        <v>0</v>
      </c>
      <c r="K12" s="12"/>
      <c r="L12" s="12">
        <f t="shared" si="1"/>
        <v>0</v>
      </c>
      <c r="M12" s="12"/>
      <c r="N12" s="14">
        <f t="shared" si="2"/>
        <v>15</v>
      </c>
      <c r="O12" s="1"/>
      <c r="P12" s="1"/>
      <c r="Q12" s="1"/>
    </row>
    <row r="13" spans="1:17" x14ac:dyDescent="0.25">
      <c r="A13" s="10">
        <v>8</v>
      </c>
      <c r="B13" s="12">
        <v>21033095</v>
      </c>
      <c r="C13" s="23" t="s">
        <v>62</v>
      </c>
      <c r="D13" s="11"/>
      <c r="E13" s="12">
        <v>3</v>
      </c>
      <c r="F13" s="12">
        <v>5</v>
      </c>
      <c r="G13" s="12">
        <v>5</v>
      </c>
      <c r="H13" s="12">
        <v>2</v>
      </c>
      <c r="I13" s="13"/>
      <c r="J13" s="13">
        <f t="shared" si="0"/>
        <v>0</v>
      </c>
      <c r="K13" s="20"/>
      <c r="L13" s="12">
        <f t="shared" si="1"/>
        <v>0</v>
      </c>
      <c r="M13" s="12"/>
      <c r="N13" s="14">
        <f t="shared" si="2"/>
        <v>15</v>
      </c>
      <c r="O13" s="1"/>
      <c r="P13" s="1"/>
      <c r="Q13" s="1"/>
    </row>
    <row r="14" spans="1:17" x14ac:dyDescent="0.25">
      <c r="A14" s="10">
        <v>9</v>
      </c>
      <c r="B14" s="12">
        <v>21033097</v>
      </c>
      <c r="C14" s="23" t="s">
        <v>63</v>
      </c>
      <c r="D14" s="11"/>
      <c r="E14" s="12">
        <v>3</v>
      </c>
      <c r="F14" s="12">
        <v>5</v>
      </c>
      <c r="G14" s="12">
        <v>5</v>
      </c>
      <c r="H14" s="12">
        <v>2</v>
      </c>
      <c r="I14" s="13"/>
      <c r="J14" s="13">
        <f t="shared" si="0"/>
        <v>0</v>
      </c>
      <c r="K14" s="20"/>
      <c r="L14" s="12">
        <f t="shared" si="1"/>
        <v>0</v>
      </c>
      <c r="M14" s="12"/>
      <c r="N14" s="14">
        <f t="shared" si="2"/>
        <v>15</v>
      </c>
      <c r="O14" s="1"/>
      <c r="P14" s="1"/>
      <c r="Q14" s="1"/>
    </row>
    <row r="15" spans="1:17" x14ac:dyDescent="0.25">
      <c r="A15" s="10">
        <v>10</v>
      </c>
      <c r="B15" s="12">
        <v>21033098</v>
      </c>
      <c r="C15" s="23" t="s">
        <v>64</v>
      </c>
      <c r="D15" s="11"/>
      <c r="E15" s="12">
        <v>3</v>
      </c>
      <c r="F15" s="12">
        <v>5</v>
      </c>
      <c r="G15" s="12">
        <v>5</v>
      </c>
      <c r="H15" s="12">
        <v>2</v>
      </c>
      <c r="I15" s="13"/>
      <c r="J15" s="13">
        <f t="shared" si="0"/>
        <v>0</v>
      </c>
      <c r="K15" s="19"/>
      <c r="L15" s="12">
        <f t="shared" si="1"/>
        <v>0</v>
      </c>
      <c r="M15" s="12"/>
      <c r="N15" s="14">
        <f t="shared" si="2"/>
        <v>15</v>
      </c>
      <c r="O15" s="1"/>
      <c r="P15" s="1"/>
      <c r="Q15" s="1"/>
    </row>
    <row r="16" spans="1:17" x14ac:dyDescent="0.25">
      <c r="A16" s="10">
        <v>11</v>
      </c>
      <c r="B16" s="12">
        <v>21033100</v>
      </c>
      <c r="C16" s="23" t="s">
        <v>65</v>
      </c>
      <c r="D16" s="11"/>
      <c r="E16" s="12">
        <v>3</v>
      </c>
      <c r="F16" s="12">
        <v>5</v>
      </c>
      <c r="G16" s="12">
        <v>5</v>
      </c>
      <c r="H16" s="12">
        <v>2</v>
      </c>
      <c r="I16" s="13"/>
      <c r="J16" s="13">
        <f t="shared" si="0"/>
        <v>0</v>
      </c>
      <c r="K16" s="20"/>
      <c r="L16" s="12">
        <f t="shared" si="1"/>
        <v>0</v>
      </c>
      <c r="M16" s="12"/>
      <c r="N16" s="14">
        <f t="shared" si="2"/>
        <v>15</v>
      </c>
      <c r="O16" s="1"/>
      <c r="P16" s="1"/>
      <c r="Q16" s="1"/>
    </row>
    <row r="17" spans="1:17" x14ac:dyDescent="0.25">
      <c r="A17" s="10">
        <v>12</v>
      </c>
      <c r="B17" s="12">
        <v>21033101</v>
      </c>
      <c r="C17" s="23" t="s">
        <v>66</v>
      </c>
      <c r="D17" s="11"/>
      <c r="E17" s="12">
        <v>3</v>
      </c>
      <c r="F17" s="12">
        <v>5</v>
      </c>
      <c r="G17" s="12">
        <v>5</v>
      </c>
      <c r="H17" s="12">
        <v>2</v>
      </c>
      <c r="I17" s="13"/>
      <c r="J17" s="13">
        <f t="shared" si="0"/>
        <v>0</v>
      </c>
      <c r="K17" s="19"/>
      <c r="L17" s="12">
        <f t="shared" si="1"/>
        <v>0</v>
      </c>
      <c r="M17" s="12"/>
      <c r="N17" s="14">
        <f t="shared" si="2"/>
        <v>15</v>
      </c>
      <c r="O17" s="1"/>
      <c r="P17" s="1"/>
      <c r="Q17" s="1"/>
    </row>
    <row r="18" spans="1:17" x14ac:dyDescent="0.25">
      <c r="A18" s="10">
        <v>13</v>
      </c>
      <c r="B18" s="12">
        <v>21033102</v>
      </c>
      <c r="C18" s="23" t="s">
        <v>67</v>
      </c>
      <c r="D18" s="11"/>
      <c r="E18" s="12">
        <v>3</v>
      </c>
      <c r="F18" s="12">
        <v>5</v>
      </c>
      <c r="G18" s="12">
        <v>5</v>
      </c>
      <c r="H18" s="12">
        <v>2</v>
      </c>
      <c r="I18" s="13"/>
      <c r="J18" s="13">
        <f t="shared" si="0"/>
        <v>0</v>
      </c>
      <c r="K18" s="20"/>
      <c r="L18" s="12">
        <f t="shared" si="1"/>
        <v>0</v>
      </c>
      <c r="M18" s="12"/>
      <c r="N18" s="14">
        <f t="shared" si="2"/>
        <v>15</v>
      </c>
      <c r="O18" s="1"/>
      <c r="P18" s="1"/>
      <c r="Q18" s="1"/>
    </row>
    <row r="19" spans="1:17" x14ac:dyDescent="0.25">
      <c r="A19" s="10">
        <v>14</v>
      </c>
      <c r="B19" s="12">
        <v>21033103</v>
      </c>
      <c r="C19" s="23" t="s">
        <v>68</v>
      </c>
      <c r="D19" s="11"/>
      <c r="E19" s="12">
        <v>3</v>
      </c>
      <c r="F19" s="12">
        <v>5</v>
      </c>
      <c r="G19" s="12">
        <v>5</v>
      </c>
      <c r="H19" s="12">
        <v>2</v>
      </c>
      <c r="I19" s="13"/>
      <c r="J19" s="13">
        <f t="shared" si="0"/>
        <v>0</v>
      </c>
      <c r="K19" s="19"/>
      <c r="L19" s="12">
        <f t="shared" si="1"/>
        <v>0</v>
      </c>
      <c r="M19" s="12"/>
      <c r="N19" s="14">
        <f t="shared" si="2"/>
        <v>15</v>
      </c>
      <c r="O19" s="1"/>
      <c r="P19" s="1"/>
      <c r="Q19" s="1"/>
    </row>
    <row r="20" spans="1:17" x14ac:dyDescent="0.25">
      <c r="A20" s="10">
        <v>15</v>
      </c>
      <c r="B20" s="12">
        <v>21033104</v>
      </c>
      <c r="C20" s="23" t="s">
        <v>69</v>
      </c>
      <c r="D20" s="11"/>
      <c r="E20" s="12">
        <v>3</v>
      </c>
      <c r="F20" s="12">
        <v>5</v>
      </c>
      <c r="G20" s="12">
        <v>5</v>
      </c>
      <c r="H20" s="12">
        <v>2</v>
      </c>
      <c r="I20" s="13"/>
      <c r="J20" s="13">
        <f t="shared" si="0"/>
        <v>0</v>
      </c>
      <c r="K20" s="19"/>
      <c r="L20" s="12">
        <f t="shared" si="1"/>
        <v>0</v>
      </c>
      <c r="M20" s="12"/>
      <c r="N20" s="14">
        <f t="shared" si="2"/>
        <v>15</v>
      </c>
      <c r="O20" s="1"/>
      <c r="P20" s="1"/>
      <c r="Q20" s="1"/>
    </row>
    <row r="21" spans="1:17" x14ac:dyDescent="0.25">
      <c r="A21" s="10">
        <v>16</v>
      </c>
      <c r="B21" s="12">
        <v>21033107</v>
      </c>
      <c r="C21" s="23" t="s">
        <v>70</v>
      </c>
      <c r="D21" s="11"/>
      <c r="E21" s="12">
        <v>3</v>
      </c>
      <c r="F21" s="12">
        <v>5</v>
      </c>
      <c r="G21" s="12">
        <v>5</v>
      </c>
      <c r="H21" s="12">
        <v>2</v>
      </c>
      <c r="I21" s="13"/>
      <c r="J21" s="13">
        <f t="shared" si="0"/>
        <v>0</v>
      </c>
      <c r="K21" s="20"/>
      <c r="L21" s="12">
        <f t="shared" si="1"/>
        <v>0</v>
      </c>
      <c r="M21" s="12"/>
      <c r="N21" s="14">
        <f t="shared" si="2"/>
        <v>15</v>
      </c>
      <c r="O21" s="1"/>
      <c r="P21" s="1"/>
      <c r="Q21" s="1"/>
    </row>
    <row r="22" spans="1:17" x14ac:dyDescent="0.25">
      <c r="A22" s="10">
        <v>17</v>
      </c>
      <c r="B22" s="12">
        <v>21033110</v>
      </c>
      <c r="C22" s="23" t="s">
        <v>71</v>
      </c>
      <c r="D22" s="11"/>
      <c r="E22" s="12">
        <v>3</v>
      </c>
      <c r="F22" s="12">
        <v>5</v>
      </c>
      <c r="G22" s="12">
        <v>5</v>
      </c>
      <c r="H22" s="12">
        <v>2</v>
      </c>
      <c r="I22" s="13"/>
      <c r="J22" s="13">
        <f t="shared" si="0"/>
        <v>0</v>
      </c>
      <c r="K22" s="20"/>
      <c r="L22" s="12">
        <f t="shared" si="1"/>
        <v>0</v>
      </c>
      <c r="M22" s="12"/>
      <c r="N22" s="14">
        <f t="shared" si="2"/>
        <v>15</v>
      </c>
      <c r="O22" s="1"/>
      <c r="P22" s="1"/>
      <c r="Q22" s="1"/>
    </row>
    <row r="23" spans="1:17" x14ac:dyDescent="0.25">
      <c r="A23" s="10">
        <v>18</v>
      </c>
      <c r="B23" s="12">
        <v>21033114</v>
      </c>
      <c r="C23" s="23" t="s">
        <v>72</v>
      </c>
      <c r="D23" s="11"/>
      <c r="E23" s="12">
        <v>3</v>
      </c>
      <c r="F23" s="12">
        <v>5</v>
      </c>
      <c r="G23" s="12">
        <v>5</v>
      </c>
      <c r="H23" s="12">
        <v>2</v>
      </c>
      <c r="I23" s="13"/>
      <c r="J23" s="13">
        <f t="shared" si="0"/>
        <v>0</v>
      </c>
      <c r="K23" s="19"/>
      <c r="L23" s="12">
        <f t="shared" si="1"/>
        <v>0</v>
      </c>
      <c r="M23" s="12"/>
      <c r="N23" s="14">
        <f t="shared" si="2"/>
        <v>15</v>
      </c>
      <c r="O23" s="1"/>
      <c r="P23" s="1"/>
      <c r="Q23" s="1"/>
    </row>
    <row r="24" spans="1:17" x14ac:dyDescent="0.25">
      <c r="A24" s="10">
        <v>19</v>
      </c>
      <c r="B24" s="12">
        <v>21033118</v>
      </c>
      <c r="C24" s="23" t="s">
        <v>73</v>
      </c>
      <c r="D24" s="11"/>
      <c r="E24" s="12">
        <v>3</v>
      </c>
      <c r="F24" s="12">
        <v>5</v>
      </c>
      <c r="G24" s="12">
        <v>5</v>
      </c>
      <c r="H24" s="12">
        <v>2</v>
      </c>
      <c r="I24" s="13"/>
      <c r="J24" s="13">
        <f t="shared" si="0"/>
        <v>0</v>
      </c>
      <c r="K24" s="20"/>
      <c r="L24" s="12">
        <f t="shared" si="1"/>
        <v>0</v>
      </c>
      <c r="M24" s="12"/>
      <c r="N24" s="14">
        <f t="shared" si="2"/>
        <v>15</v>
      </c>
      <c r="O24" s="1"/>
      <c r="P24" s="1"/>
      <c r="Q24" s="1"/>
    </row>
    <row r="25" spans="1:17" x14ac:dyDescent="0.25">
      <c r="A25" s="10">
        <v>20</v>
      </c>
      <c r="B25" s="12">
        <v>21033121</v>
      </c>
      <c r="C25" s="24" t="s">
        <v>74</v>
      </c>
      <c r="D25" s="11"/>
      <c r="E25" s="12">
        <v>3</v>
      </c>
      <c r="F25" s="12">
        <v>5</v>
      </c>
      <c r="G25" s="12">
        <v>5</v>
      </c>
      <c r="H25" s="12">
        <v>2</v>
      </c>
      <c r="I25" s="13"/>
      <c r="J25" s="13">
        <f t="shared" si="0"/>
        <v>0</v>
      </c>
      <c r="K25" s="19"/>
      <c r="L25" s="12">
        <f t="shared" si="1"/>
        <v>0</v>
      </c>
      <c r="M25" s="12"/>
      <c r="N25" s="14">
        <f t="shared" si="2"/>
        <v>15</v>
      </c>
      <c r="O25" s="1"/>
      <c r="P25" s="1"/>
      <c r="Q25" s="1"/>
    </row>
    <row r="26" spans="1:17" x14ac:dyDescent="0.25">
      <c r="A26" s="10">
        <v>21</v>
      </c>
      <c r="B26" s="12">
        <v>21033125</v>
      </c>
      <c r="C26" s="23" t="s">
        <v>75</v>
      </c>
      <c r="D26" s="11"/>
      <c r="E26" s="12">
        <v>3</v>
      </c>
      <c r="F26" s="12">
        <v>5</v>
      </c>
      <c r="G26" s="12">
        <v>5</v>
      </c>
      <c r="H26" s="12">
        <v>2</v>
      </c>
      <c r="I26" s="13"/>
      <c r="J26" s="13">
        <f t="shared" si="0"/>
        <v>0</v>
      </c>
      <c r="K26" s="19"/>
      <c r="L26" s="12">
        <f t="shared" si="1"/>
        <v>0</v>
      </c>
      <c r="M26" s="12"/>
      <c r="N26" s="14">
        <f t="shared" si="2"/>
        <v>15</v>
      </c>
      <c r="O26" s="1"/>
      <c r="P26" s="1"/>
      <c r="Q26" s="1"/>
    </row>
    <row r="27" spans="1:17" x14ac:dyDescent="0.25">
      <c r="A27" s="10">
        <v>22</v>
      </c>
      <c r="B27" s="12">
        <v>21033126</v>
      </c>
      <c r="C27" s="23" t="s">
        <v>76</v>
      </c>
      <c r="D27" s="11"/>
      <c r="E27" s="12">
        <v>3</v>
      </c>
      <c r="F27" s="12">
        <v>5</v>
      </c>
      <c r="G27" s="12">
        <v>5</v>
      </c>
      <c r="H27" s="12">
        <v>2</v>
      </c>
      <c r="I27" s="13"/>
      <c r="J27" s="13">
        <f t="shared" si="0"/>
        <v>0</v>
      </c>
      <c r="K27" s="20"/>
      <c r="L27" s="12">
        <f t="shared" si="1"/>
        <v>0</v>
      </c>
      <c r="M27" s="12"/>
      <c r="N27" s="14">
        <f t="shared" si="2"/>
        <v>15</v>
      </c>
      <c r="O27" s="1"/>
      <c r="P27" s="1"/>
      <c r="Q27" s="1"/>
    </row>
    <row r="28" spans="1:17" x14ac:dyDescent="0.25">
      <c r="A28" s="10">
        <v>23</v>
      </c>
      <c r="B28" s="12">
        <v>21033127</v>
      </c>
      <c r="C28" s="23" t="s">
        <v>77</v>
      </c>
      <c r="D28" s="11"/>
      <c r="E28" s="12">
        <v>3</v>
      </c>
      <c r="F28" s="12">
        <v>5</v>
      </c>
      <c r="G28" s="12">
        <v>5</v>
      </c>
      <c r="H28" s="12">
        <v>2</v>
      </c>
      <c r="I28" s="13"/>
      <c r="J28" s="13">
        <f t="shared" si="0"/>
        <v>0</v>
      </c>
      <c r="K28" s="20"/>
      <c r="L28" s="12">
        <f t="shared" si="1"/>
        <v>0</v>
      </c>
      <c r="M28" s="12"/>
      <c r="N28" s="14">
        <f t="shared" si="2"/>
        <v>15</v>
      </c>
      <c r="O28" s="1"/>
      <c r="P28" s="1"/>
      <c r="Q28" s="1"/>
    </row>
    <row r="29" spans="1:17" x14ac:dyDescent="0.25">
      <c r="A29" s="10">
        <v>24</v>
      </c>
      <c r="B29" s="12">
        <v>21033129</v>
      </c>
      <c r="C29" s="23" t="s">
        <v>78</v>
      </c>
      <c r="D29" s="11"/>
      <c r="E29" s="12">
        <v>3</v>
      </c>
      <c r="F29" s="12">
        <v>5</v>
      </c>
      <c r="G29" s="12">
        <v>5</v>
      </c>
      <c r="H29" s="12">
        <v>2</v>
      </c>
      <c r="I29" s="13"/>
      <c r="J29" s="13">
        <f t="shared" si="0"/>
        <v>0</v>
      </c>
      <c r="K29" s="19"/>
      <c r="L29" s="12">
        <f t="shared" si="1"/>
        <v>0</v>
      </c>
      <c r="M29" s="12"/>
      <c r="N29" s="14">
        <f t="shared" si="2"/>
        <v>15</v>
      </c>
      <c r="O29" s="1"/>
      <c r="P29" s="1"/>
      <c r="Q29" s="1"/>
    </row>
    <row r="30" spans="1:17" x14ac:dyDescent="0.25">
      <c r="A30" s="10">
        <v>25</v>
      </c>
      <c r="B30" s="12">
        <v>21033131</v>
      </c>
      <c r="C30" s="23" t="s">
        <v>79</v>
      </c>
      <c r="D30" s="11"/>
      <c r="E30" s="12">
        <v>3</v>
      </c>
      <c r="F30" s="12">
        <v>5</v>
      </c>
      <c r="G30" s="12">
        <v>5</v>
      </c>
      <c r="H30" s="12">
        <v>2</v>
      </c>
      <c r="I30" s="13"/>
      <c r="J30" s="13">
        <f t="shared" si="0"/>
        <v>0</v>
      </c>
      <c r="K30" s="12"/>
      <c r="L30" s="12">
        <f t="shared" si="1"/>
        <v>0</v>
      </c>
      <c r="M30" s="12"/>
      <c r="N30" s="14">
        <f t="shared" si="2"/>
        <v>15</v>
      </c>
      <c r="O30" s="1"/>
      <c r="P30" s="1"/>
      <c r="Q30" s="1"/>
    </row>
    <row r="31" spans="1:17" x14ac:dyDescent="0.25">
      <c r="A31" s="10">
        <v>26</v>
      </c>
      <c r="B31" s="12">
        <v>21033135</v>
      </c>
      <c r="C31" s="23" t="s">
        <v>80</v>
      </c>
      <c r="D31" s="11"/>
      <c r="E31" s="12">
        <v>3</v>
      </c>
      <c r="F31" s="12">
        <v>5</v>
      </c>
      <c r="G31" s="12">
        <v>5</v>
      </c>
      <c r="H31" s="12">
        <v>2</v>
      </c>
      <c r="I31" s="13"/>
      <c r="J31" s="13">
        <f t="shared" si="0"/>
        <v>0</v>
      </c>
      <c r="K31" s="12"/>
      <c r="L31" s="12">
        <f t="shared" si="1"/>
        <v>0</v>
      </c>
      <c r="M31" s="12"/>
      <c r="N31" s="14">
        <f t="shared" si="2"/>
        <v>15</v>
      </c>
      <c r="O31" s="1"/>
      <c r="P31" s="1"/>
      <c r="Q31" s="1"/>
    </row>
    <row r="32" spans="1:17" x14ac:dyDescent="0.25">
      <c r="A32" s="10">
        <v>27</v>
      </c>
      <c r="B32" s="12">
        <v>21033144</v>
      </c>
      <c r="C32" s="23" t="s">
        <v>81</v>
      </c>
      <c r="D32" s="11"/>
      <c r="E32" s="12">
        <v>3</v>
      </c>
      <c r="F32" s="12">
        <v>5</v>
      </c>
      <c r="G32" s="12">
        <v>5</v>
      </c>
      <c r="H32" s="12">
        <v>2</v>
      </c>
      <c r="I32" s="13"/>
      <c r="J32" s="13">
        <f t="shared" si="0"/>
        <v>0</v>
      </c>
      <c r="K32" s="19"/>
      <c r="L32" s="12">
        <f t="shared" si="1"/>
        <v>0</v>
      </c>
      <c r="M32" s="12"/>
      <c r="N32" s="14">
        <f t="shared" si="2"/>
        <v>15</v>
      </c>
      <c r="O32" s="1"/>
      <c r="P32" s="1"/>
      <c r="Q32" s="1"/>
    </row>
    <row r="33" spans="1:17" x14ac:dyDescent="0.25">
      <c r="A33" s="10">
        <v>28</v>
      </c>
      <c r="B33" s="12">
        <v>21033148</v>
      </c>
      <c r="C33" s="23" t="s">
        <v>82</v>
      </c>
      <c r="D33" s="11"/>
      <c r="E33" s="12">
        <v>3</v>
      </c>
      <c r="F33" s="12">
        <v>5</v>
      </c>
      <c r="G33" s="12">
        <v>5</v>
      </c>
      <c r="H33" s="12">
        <v>2</v>
      </c>
      <c r="I33" s="13"/>
      <c r="J33" s="13">
        <f t="shared" si="0"/>
        <v>0</v>
      </c>
      <c r="K33" s="12"/>
      <c r="L33" s="12">
        <f t="shared" si="1"/>
        <v>0</v>
      </c>
      <c r="M33" s="12"/>
      <c r="N33" s="14">
        <f t="shared" si="2"/>
        <v>15</v>
      </c>
      <c r="O33" s="1"/>
      <c r="P33" s="1"/>
      <c r="Q33" s="1"/>
    </row>
    <row r="34" spans="1:17" x14ac:dyDescent="0.25">
      <c r="A34" s="10">
        <v>29</v>
      </c>
      <c r="D34" s="11"/>
      <c r="E34" s="12">
        <v>3</v>
      </c>
      <c r="F34" s="12">
        <v>5</v>
      </c>
      <c r="G34" s="12">
        <v>5</v>
      </c>
      <c r="H34" s="12">
        <v>2</v>
      </c>
      <c r="I34" s="13"/>
      <c r="J34" s="13">
        <f t="shared" si="0"/>
        <v>0</v>
      </c>
      <c r="K34" s="12"/>
      <c r="L34" s="12">
        <f t="shared" si="1"/>
        <v>0</v>
      </c>
      <c r="M34" s="12"/>
      <c r="N34" s="14">
        <f t="shared" si="2"/>
        <v>15</v>
      </c>
      <c r="O34" s="1"/>
      <c r="P34" s="1"/>
      <c r="Q34" s="1"/>
    </row>
    <row r="35" spans="1:17" x14ac:dyDescent="0.25">
      <c r="A35" s="10">
        <v>30</v>
      </c>
      <c r="B35" s="12"/>
      <c r="C35" s="23"/>
      <c r="D35" s="11"/>
      <c r="E35" s="12"/>
      <c r="F35" s="12"/>
      <c r="G35" s="12"/>
      <c r="H35" s="12"/>
      <c r="I35" s="13"/>
      <c r="J35" s="13"/>
      <c r="K35" s="12"/>
      <c r="L35" s="12"/>
      <c r="M35" s="12"/>
      <c r="N35" s="14">
        <f t="shared" si="2"/>
        <v>0</v>
      </c>
      <c r="O35" s="1"/>
      <c r="P35" s="1"/>
      <c r="Q35" s="1"/>
    </row>
    <row r="36" spans="1:17" x14ac:dyDescent="0.25">
      <c r="A36" s="10">
        <v>31</v>
      </c>
      <c r="B36" s="12"/>
      <c r="C36" s="23"/>
      <c r="D36" s="11"/>
      <c r="E36" s="12"/>
      <c r="F36" s="12"/>
      <c r="G36" s="12"/>
      <c r="H36" s="12"/>
      <c r="I36" s="12"/>
      <c r="J36" s="13"/>
      <c r="K36" s="12"/>
      <c r="L36" s="12"/>
      <c r="M36" s="12"/>
      <c r="N36" s="14">
        <f t="shared" si="2"/>
        <v>0</v>
      </c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0" t="s">
        <v>17</v>
      </c>
      <c r="M38" s="50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0" t="s">
        <v>18</v>
      </c>
      <c r="M39" s="50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</sheetData>
  <mergeCells count="7">
    <mergeCell ref="L38:M38"/>
    <mergeCell ref="L39:M39"/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opLeftCell="A16" workbookViewId="0">
      <selection activeCell="C36" sqref="C36"/>
    </sheetView>
  </sheetViews>
  <sheetFormatPr defaultRowHeight="15" x14ac:dyDescent="0.25"/>
  <cols>
    <col min="3" max="3" width="27.28515625" customWidth="1"/>
    <col min="4" max="4" width="9.140625" customWidth="1"/>
    <col min="5" max="5" width="7.5703125" customWidth="1"/>
    <col min="6" max="6" width="6.28515625" customWidth="1"/>
    <col min="8" max="9" width="6.42578125" customWidth="1"/>
    <col min="10" max="10" width="8.140625" customWidth="1"/>
    <col min="12" max="12" width="11.140625" customWidth="1"/>
  </cols>
  <sheetData>
    <row r="1" spans="1:15" ht="16.5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1"/>
    </row>
    <row r="2" spans="1:15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</row>
    <row r="3" spans="1:15" ht="19.5" x14ac:dyDescent="0.3">
      <c r="A3" s="53" t="s">
        <v>85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1"/>
    </row>
    <row r="4" spans="1:15" ht="16.5" thickBot="1" x14ac:dyDescent="0.3">
      <c r="A4" s="54" t="s">
        <v>19</v>
      </c>
      <c r="B4" s="55"/>
      <c r="C4" s="56" t="s">
        <v>86</v>
      </c>
      <c r="D4" s="57"/>
      <c r="E4" s="57"/>
      <c r="F4" s="2" t="s">
        <v>84</v>
      </c>
      <c r="G4" s="3"/>
      <c r="H4" s="4"/>
      <c r="I4" s="3"/>
      <c r="J4" s="3"/>
      <c r="K4" s="3"/>
      <c r="L4" s="5" t="s">
        <v>2</v>
      </c>
      <c r="M4" s="3"/>
      <c r="N4" s="3"/>
      <c r="O4" s="1"/>
    </row>
    <row r="5" spans="1:15" ht="57" thickBot="1" x14ac:dyDescent="0.3">
      <c r="A5" s="6" t="s">
        <v>3</v>
      </c>
      <c r="B5" s="7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5" t="s">
        <v>12</v>
      </c>
      <c r="K5" s="17" t="s">
        <v>13</v>
      </c>
      <c r="L5" s="16" t="s">
        <v>14</v>
      </c>
      <c r="M5" s="9" t="s">
        <v>15</v>
      </c>
      <c r="N5" s="9" t="s">
        <v>16</v>
      </c>
      <c r="O5" s="1"/>
    </row>
    <row r="6" spans="1:15" x14ac:dyDescent="0.25">
      <c r="A6" s="10">
        <v>1</v>
      </c>
      <c r="B6" s="12">
        <v>21033075</v>
      </c>
      <c r="C6" s="23" t="s">
        <v>55</v>
      </c>
      <c r="D6" s="11"/>
      <c r="E6" s="12">
        <v>3</v>
      </c>
      <c r="F6" s="12">
        <v>5</v>
      </c>
      <c r="G6" s="12">
        <v>5</v>
      </c>
      <c r="H6" s="12">
        <v>2</v>
      </c>
      <c r="I6" s="13"/>
      <c r="J6" s="13">
        <f>I6/5</f>
        <v>0</v>
      </c>
      <c r="K6" s="18"/>
      <c r="L6" s="12">
        <f>K6/4</f>
        <v>0</v>
      </c>
      <c r="M6" s="12"/>
      <c r="N6" s="14">
        <f>E6+F6+G6+H6+J6+L6</f>
        <v>15</v>
      </c>
      <c r="O6" s="1"/>
    </row>
    <row r="7" spans="1:15" x14ac:dyDescent="0.25">
      <c r="A7" s="10">
        <v>2</v>
      </c>
      <c r="B7" s="12">
        <v>21033077</v>
      </c>
      <c r="C7" s="23" t="s">
        <v>56</v>
      </c>
      <c r="D7" s="11"/>
      <c r="E7" s="12">
        <v>3</v>
      </c>
      <c r="F7" s="12">
        <v>5</v>
      </c>
      <c r="G7" s="12">
        <v>5</v>
      </c>
      <c r="H7" s="12">
        <v>2</v>
      </c>
      <c r="I7" s="13"/>
      <c r="J7" s="13">
        <f t="shared" ref="J7:J36" si="0">I7/5</f>
        <v>0</v>
      </c>
      <c r="K7" s="12"/>
      <c r="L7" s="12">
        <f t="shared" ref="L7:L36" si="1">K7/4</f>
        <v>0</v>
      </c>
      <c r="M7" s="12"/>
      <c r="N7" s="14">
        <f t="shared" ref="N7:N36" si="2">E7+F7+G7+H7+J7+L7</f>
        <v>15</v>
      </c>
      <c r="O7" s="1"/>
    </row>
    <row r="8" spans="1:15" x14ac:dyDescent="0.25">
      <c r="A8" s="10">
        <v>3</v>
      </c>
      <c r="B8" s="12">
        <v>21033078</v>
      </c>
      <c r="C8" s="23" t="s">
        <v>57</v>
      </c>
      <c r="D8" s="11"/>
      <c r="E8" s="12">
        <v>3</v>
      </c>
      <c r="F8" s="12">
        <v>5</v>
      </c>
      <c r="G8" s="12">
        <v>5</v>
      </c>
      <c r="H8" s="12">
        <v>2</v>
      </c>
      <c r="I8" s="13"/>
      <c r="J8" s="13">
        <f t="shared" si="0"/>
        <v>0</v>
      </c>
      <c r="K8" s="12"/>
      <c r="L8" s="12">
        <f t="shared" si="1"/>
        <v>0</v>
      </c>
      <c r="M8" s="12"/>
      <c r="N8" s="14">
        <f t="shared" si="2"/>
        <v>15</v>
      </c>
      <c r="O8" s="1"/>
    </row>
    <row r="9" spans="1:15" x14ac:dyDescent="0.25">
      <c r="A9" s="10">
        <v>4</v>
      </c>
      <c r="B9" s="12">
        <v>21033080</v>
      </c>
      <c r="C9" s="23" t="s">
        <v>58</v>
      </c>
      <c r="D9" s="11"/>
      <c r="E9" s="12">
        <v>3</v>
      </c>
      <c r="F9" s="12">
        <v>5</v>
      </c>
      <c r="G9" s="12">
        <v>5</v>
      </c>
      <c r="H9" s="12">
        <v>2</v>
      </c>
      <c r="I9" s="13"/>
      <c r="J9" s="13">
        <f t="shared" si="0"/>
        <v>0</v>
      </c>
      <c r="K9" s="12"/>
      <c r="L9" s="12">
        <f t="shared" si="1"/>
        <v>0</v>
      </c>
      <c r="M9" s="12"/>
      <c r="N9" s="14">
        <f t="shared" si="2"/>
        <v>15</v>
      </c>
      <c r="O9" s="1"/>
    </row>
    <row r="10" spans="1:15" x14ac:dyDescent="0.25">
      <c r="A10" s="10">
        <v>5</v>
      </c>
      <c r="B10" s="12">
        <v>21033082</v>
      </c>
      <c r="C10" s="23" t="s">
        <v>59</v>
      </c>
      <c r="D10" s="11"/>
      <c r="E10" s="12">
        <v>3</v>
      </c>
      <c r="F10" s="12">
        <v>5</v>
      </c>
      <c r="G10" s="12">
        <v>5</v>
      </c>
      <c r="H10" s="12">
        <v>2</v>
      </c>
      <c r="I10" s="13"/>
      <c r="J10" s="13">
        <f t="shared" si="0"/>
        <v>0</v>
      </c>
      <c r="K10" s="12"/>
      <c r="L10" s="12">
        <f t="shared" si="1"/>
        <v>0</v>
      </c>
      <c r="M10" s="12"/>
      <c r="N10" s="14">
        <f t="shared" si="2"/>
        <v>15</v>
      </c>
      <c r="O10" s="1"/>
    </row>
    <row r="11" spans="1:15" x14ac:dyDescent="0.25">
      <c r="A11" s="10">
        <v>6</v>
      </c>
      <c r="B11" s="12">
        <v>21033084</v>
      </c>
      <c r="C11" s="23" t="s">
        <v>60</v>
      </c>
      <c r="D11" s="11"/>
      <c r="E11" s="12">
        <v>3</v>
      </c>
      <c r="F11" s="12">
        <v>5</v>
      </c>
      <c r="G11" s="12">
        <v>5</v>
      </c>
      <c r="H11" s="12">
        <v>2</v>
      </c>
      <c r="I11" s="13"/>
      <c r="J11" s="13">
        <f t="shared" si="0"/>
        <v>0</v>
      </c>
      <c r="K11" s="12"/>
      <c r="L11" s="12">
        <f t="shared" si="1"/>
        <v>0</v>
      </c>
      <c r="M11" s="12"/>
      <c r="N11" s="14">
        <f t="shared" si="2"/>
        <v>15</v>
      </c>
      <c r="O11" s="1"/>
    </row>
    <row r="12" spans="1:15" x14ac:dyDescent="0.25">
      <c r="A12" s="10">
        <v>7</v>
      </c>
      <c r="B12" s="12">
        <v>21033087</v>
      </c>
      <c r="C12" s="23" t="s">
        <v>61</v>
      </c>
      <c r="D12" s="11"/>
      <c r="E12" s="12">
        <v>3</v>
      </c>
      <c r="F12" s="12">
        <v>5</v>
      </c>
      <c r="G12" s="12">
        <v>5</v>
      </c>
      <c r="H12" s="12">
        <v>2</v>
      </c>
      <c r="I12" s="13"/>
      <c r="J12" s="13">
        <f t="shared" si="0"/>
        <v>0</v>
      </c>
      <c r="K12" s="12"/>
      <c r="L12" s="12">
        <f t="shared" si="1"/>
        <v>0</v>
      </c>
      <c r="M12" s="12"/>
      <c r="N12" s="14">
        <f t="shared" si="2"/>
        <v>15</v>
      </c>
      <c r="O12" s="1"/>
    </row>
    <row r="13" spans="1:15" x14ac:dyDescent="0.25">
      <c r="A13" s="10">
        <v>8</v>
      </c>
      <c r="B13" s="12">
        <v>21033095</v>
      </c>
      <c r="C13" s="23" t="s">
        <v>62</v>
      </c>
      <c r="D13" s="11"/>
      <c r="E13" s="12">
        <v>3</v>
      </c>
      <c r="F13" s="12">
        <v>5</v>
      </c>
      <c r="G13" s="12">
        <v>5</v>
      </c>
      <c r="H13" s="12">
        <v>2</v>
      </c>
      <c r="I13" s="13"/>
      <c r="J13" s="13">
        <f t="shared" si="0"/>
        <v>0</v>
      </c>
      <c r="K13" s="20"/>
      <c r="L13" s="12">
        <f t="shared" si="1"/>
        <v>0</v>
      </c>
      <c r="M13" s="12"/>
      <c r="N13" s="14">
        <f t="shared" si="2"/>
        <v>15</v>
      </c>
      <c r="O13" s="1"/>
    </row>
    <row r="14" spans="1:15" x14ac:dyDescent="0.25">
      <c r="A14" s="10">
        <v>9</v>
      </c>
      <c r="B14" s="12">
        <v>21033097</v>
      </c>
      <c r="C14" s="23" t="s">
        <v>63</v>
      </c>
      <c r="D14" s="11"/>
      <c r="E14" s="12">
        <v>3</v>
      </c>
      <c r="F14" s="12">
        <v>5</v>
      </c>
      <c r="G14" s="12">
        <v>5</v>
      </c>
      <c r="H14" s="12">
        <v>2</v>
      </c>
      <c r="I14" s="13"/>
      <c r="J14" s="13">
        <f t="shared" si="0"/>
        <v>0</v>
      </c>
      <c r="K14" s="20"/>
      <c r="L14" s="12">
        <f t="shared" si="1"/>
        <v>0</v>
      </c>
      <c r="M14" s="12"/>
      <c r="N14" s="14">
        <f t="shared" si="2"/>
        <v>15</v>
      </c>
      <c r="O14" s="1"/>
    </row>
    <row r="15" spans="1:15" x14ac:dyDescent="0.25">
      <c r="A15" s="10">
        <v>10</v>
      </c>
      <c r="B15" s="12">
        <v>21033098</v>
      </c>
      <c r="C15" s="23" t="s">
        <v>64</v>
      </c>
      <c r="D15" s="11"/>
      <c r="E15" s="12">
        <v>3</v>
      </c>
      <c r="F15" s="12">
        <v>5</v>
      </c>
      <c r="G15" s="12">
        <v>5</v>
      </c>
      <c r="H15" s="12">
        <v>2</v>
      </c>
      <c r="I15" s="13"/>
      <c r="J15" s="13">
        <f t="shared" si="0"/>
        <v>0</v>
      </c>
      <c r="K15" s="19"/>
      <c r="L15" s="12">
        <f t="shared" si="1"/>
        <v>0</v>
      </c>
      <c r="M15" s="12"/>
      <c r="N15" s="14">
        <f t="shared" si="2"/>
        <v>15</v>
      </c>
      <c r="O15" s="1"/>
    </row>
    <row r="16" spans="1:15" x14ac:dyDescent="0.25">
      <c r="A16" s="10">
        <v>11</v>
      </c>
      <c r="B16" s="12">
        <v>21033100</v>
      </c>
      <c r="C16" s="23" t="s">
        <v>65</v>
      </c>
      <c r="D16" s="11"/>
      <c r="E16" s="12">
        <v>3</v>
      </c>
      <c r="F16" s="12">
        <v>5</v>
      </c>
      <c r="G16" s="12">
        <v>5</v>
      </c>
      <c r="H16" s="12">
        <v>2</v>
      </c>
      <c r="I16" s="13"/>
      <c r="J16" s="13">
        <f t="shared" si="0"/>
        <v>0</v>
      </c>
      <c r="K16" s="20"/>
      <c r="L16" s="12">
        <f t="shared" si="1"/>
        <v>0</v>
      </c>
      <c r="M16" s="12"/>
      <c r="N16" s="14">
        <f t="shared" si="2"/>
        <v>15</v>
      </c>
      <c r="O16" s="1"/>
    </row>
    <row r="17" spans="1:15" x14ac:dyDescent="0.25">
      <c r="A17" s="10">
        <v>12</v>
      </c>
      <c r="B17" s="12">
        <v>21033101</v>
      </c>
      <c r="C17" s="23" t="s">
        <v>66</v>
      </c>
      <c r="D17" s="11"/>
      <c r="E17" s="12">
        <v>3</v>
      </c>
      <c r="F17" s="12">
        <v>5</v>
      </c>
      <c r="G17" s="12">
        <v>5</v>
      </c>
      <c r="H17" s="12">
        <v>2</v>
      </c>
      <c r="I17" s="13"/>
      <c r="J17" s="13">
        <f t="shared" si="0"/>
        <v>0</v>
      </c>
      <c r="K17" s="19"/>
      <c r="L17" s="12">
        <f t="shared" si="1"/>
        <v>0</v>
      </c>
      <c r="M17" s="12"/>
      <c r="N17" s="14">
        <f t="shared" si="2"/>
        <v>15</v>
      </c>
      <c r="O17" s="1"/>
    </row>
    <row r="18" spans="1:15" x14ac:dyDescent="0.25">
      <c r="A18" s="10">
        <v>13</v>
      </c>
      <c r="B18" s="12">
        <v>21033102</v>
      </c>
      <c r="C18" s="23" t="s">
        <v>67</v>
      </c>
      <c r="D18" s="11"/>
      <c r="E18" s="12">
        <v>3</v>
      </c>
      <c r="F18" s="12">
        <v>5</v>
      </c>
      <c r="G18" s="12">
        <v>5</v>
      </c>
      <c r="H18" s="12">
        <v>2</v>
      </c>
      <c r="I18" s="13"/>
      <c r="J18" s="13">
        <f t="shared" si="0"/>
        <v>0</v>
      </c>
      <c r="K18" s="20"/>
      <c r="L18" s="12">
        <f t="shared" si="1"/>
        <v>0</v>
      </c>
      <c r="M18" s="12"/>
      <c r="N18" s="14">
        <f t="shared" si="2"/>
        <v>15</v>
      </c>
      <c r="O18" s="1"/>
    </row>
    <row r="19" spans="1:15" x14ac:dyDescent="0.25">
      <c r="A19" s="10">
        <v>14</v>
      </c>
      <c r="B19" s="12">
        <v>21033103</v>
      </c>
      <c r="C19" s="23" t="s">
        <v>68</v>
      </c>
      <c r="D19" s="11"/>
      <c r="E19" s="12">
        <v>3</v>
      </c>
      <c r="F19" s="12">
        <v>5</v>
      </c>
      <c r="G19" s="12">
        <v>5</v>
      </c>
      <c r="H19" s="12">
        <v>2</v>
      </c>
      <c r="I19" s="13"/>
      <c r="J19" s="13">
        <f t="shared" si="0"/>
        <v>0</v>
      </c>
      <c r="K19" s="19"/>
      <c r="L19" s="12">
        <f t="shared" si="1"/>
        <v>0</v>
      </c>
      <c r="M19" s="12"/>
      <c r="N19" s="14">
        <f t="shared" si="2"/>
        <v>15</v>
      </c>
      <c r="O19" s="1"/>
    </row>
    <row r="20" spans="1:15" x14ac:dyDescent="0.25">
      <c r="A20" s="10">
        <v>15</v>
      </c>
      <c r="B20" s="12">
        <v>21033104</v>
      </c>
      <c r="C20" s="23" t="s">
        <v>69</v>
      </c>
      <c r="D20" s="11"/>
      <c r="E20" s="12">
        <v>3</v>
      </c>
      <c r="F20" s="12">
        <v>5</v>
      </c>
      <c r="G20" s="12">
        <v>5</v>
      </c>
      <c r="H20" s="12">
        <v>2</v>
      </c>
      <c r="I20" s="13"/>
      <c r="J20" s="13">
        <f t="shared" si="0"/>
        <v>0</v>
      </c>
      <c r="K20" s="19"/>
      <c r="L20" s="12">
        <f t="shared" si="1"/>
        <v>0</v>
      </c>
      <c r="M20" s="12"/>
      <c r="N20" s="14">
        <f t="shared" si="2"/>
        <v>15</v>
      </c>
      <c r="O20" s="1"/>
    </row>
    <row r="21" spans="1:15" x14ac:dyDescent="0.25">
      <c r="A21" s="10">
        <v>16</v>
      </c>
      <c r="B21" s="12">
        <v>21033107</v>
      </c>
      <c r="C21" s="23" t="s">
        <v>70</v>
      </c>
      <c r="D21" s="11"/>
      <c r="E21" s="12">
        <v>3</v>
      </c>
      <c r="F21" s="12">
        <v>5</v>
      </c>
      <c r="G21" s="12">
        <v>5</v>
      </c>
      <c r="H21" s="12">
        <v>2</v>
      </c>
      <c r="I21" s="13"/>
      <c r="J21" s="13">
        <f t="shared" si="0"/>
        <v>0</v>
      </c>
      <c r="K21" s="20"/>
      <c r="L21" s="12">
        <f t="shared" si="1"/>
        <v>0</v>
      </c>
      <c r="M21" s="12"/>
      <c r="N21" s="14">
        <f t="shared" si="2"/>
        <v>15</v>
      </c>
      <c r="O21" s="1"/>
    </row>
    <row r="22" spans="1:15" x14ac:dyDescent="0.25">
      <c r="A22" s="10">
        <v>17</v>
      </c>
      <c r="B22" s="12">
        <v>21033110</v>
      </c>
      <c r="C22" s="23" t="s">
        <v>71</v>
      </c>
      <c r="D22" s="11"/>
      <c r="E22" s="12">
        <v>3</v>
      </c>
      <c r="F22" s="12">
        <v>5</v>
      </c>
      <c r="G22" s="12">
        <v>5</v>
      </c>
      <c r="H22" s="12">
        <v>2</v>
      </c>
      <c r="I22" s="13"/>
      <c r="J22" s="13">
        <f t="shared" si="0"/>
        <v>0</v>
      </c>
      <c r="K22" s="20"/>
      <c r="L22" s="12">
        <f t="shared" si="1"/>
        <v>0</v>
      </c>
      <c r="M22" s="12"/>
      <c r="N22" s="14">
        <f t="shared" si="2"/>
        <v>15</v>
      </c>
      <c r="O22" s="1"/>
    </row>
    <row r="23" spans="1:15" x14ac:dyDescent="0.25">
      <c r="A23" s="10">
        <v>18</v>
      </c>
      <c r="B23" s="12">
        <v>21033114</v>
      </c>
      <c r="C23" s="23" t="s">
        <v>72</v>
      </c>
      <c r="D23" s="11"/>
      <c r="E23" s="12">
        <v>3</v>
      </c>
      <c r="F23" s="12">
        <v>5</v>
      </c>
      <c r="G23" s="12">
        <v>5</v>
      </c>
      <c r="H23" s="12">
        <v>2</v>
      </c>
      <c r="I23" s="13"/>
      <c r="J23" s="13">
        <f t="shared" si="0"/>
        <v>0</v>
      </c>
      <c r="K23" s="19"/>
      <c r="L23" s="12">
        <f t="shared" si="1"/>
        <v>0</v>
      </c>
      <c r="M23" s="12"/>
      <c r="N23" s="14">
        <f t="shared" si="2"/>
        <v>15</v>
      </c>
      <c r="O23" s="1"/>
    </row>
    <row r="24" spans="1:15" x14ac:dyDescent="0.25">
      <c r="A24" s="10">
        <v>19</v>
      </c>
      <c r="B24" s="12">
        <v>21033118</v>
      </c>
      <c r="C24" s="23" t="s">
        <v>73</v>
      </c>
      <c r="D24" s="11"/>
      <c r="E24" s="12">
        <v>3</v>
      </c>
      <c r="F24" s="12">
        <v>5</v>
      </c>
      <c r="G24" s="12">
        <v>5</v>
      </c>
      <c r="H24" s="12">
        <v>2</v>
      </c>
      <c r="I24" s="13"/>
      <c r="J24" s="13">
        <f t="shared" si="0"/>
        <v>0</v>
      </c>
      <c r="K24" s="20"/>
      <c r="L24" s="12">
        <f t="shared" si="1"/>
        <v>0</v>
      </c>
      <c r="M24" s="12"/>
      <c r="N24" s="14">
        <f t="shared" si="2"/>
        <v>15</v>
      </c>
      <c r="O24" s="1"/>
    </row>
    <row r="25" spans="1:15" x14ac:dyDescent="0.25">
      <c r="A25" s="10">
        <v>20</v>
      </c>
      <c r="B25" s="12">
        <v>21033121</v>
      </c>
      <c r="C25" s="24" t="s">
        <v>74</v>
      </c>
      <c r="D25" s="11"/>
      <c r="E25" s="12">
        <v>3</v>
      </c>
      <c r="F25" s="12">
        <v>5</v>
      </c>
      <c r="G25" s="12">
        <v>5</v>
      </c>
      <c r="H25" s="12">
        <v>2</v>
      </c>
      <c r="I25" s="13"/>
      <c r="J25" s="13">
        <f t="shared" si="0"/>
        <v>0</v>
      </c>
      <c r="K25" s="19"/>
      <c r="L25" s="12">
        <f t="shared" si="1"/>
        <v>0</v>
      </c>
      <c r="M25" s="12"/>
      <c r="N25" s="14">
        <f t="shared" si="2"/>
        <v>15</v>
      </c>
      <c r="O25" s="1"/>
    </row>
    <row r="26" spans="1:15" x14ac:dyDescent="0.25">
      <c r="A26" s="10">
        <v>21</v>
      </c>
      <c r="B26" s="12">
        <v>21033125</v>
      </c>
      <c r="C26" s="23" t="s">
        <v>75</v>
      </c>
      <c r="D26" s="11"/>
      <c r="E26" s="12">
        <v>3</v>
      </c>
      <c r="F26" s="12">
        <v>5</v>
      </c>
      <c r="G26" s="12">
        <v>5</v>
      </c>
      <c r="H26" s="12">
        <v>2</v>
      </c>
      <c r="I26" s="13"/>
      <c r="J26" s="13">
        <f t="shared" si="0"/>
        <v>0</v>
      </c>
      <c r="K26" s="19"/>
      <c r="L26" s="12">
        <f t="shared" si="1"/>
        <v>0</v>
      </c>
      <c r="M26" s="12"/>
      <c r="N26" s="14">
        <f t="shared" si="2"/>
        <v>15</v>
      </c>
      <c r="O26" s="1"/>
    </row>
    <row r="27" spans="1:15" x14ac:dyDescent="0.25">
      <c r="A27" s="10">
        <v>22</v>
      </c>
      <c r="B27" s="12">
        <v>21033126</v>
      </c>
      <c r="C27" s="23" t="s">
        <v>76</v>
      </c>
      <c r="D27" s="11"/>
      <c r="E27" s="12">
        <v>3</v>
      </c>
      <c r="F27" s="12">
        <v>5</v>
      </c>
      <c r="G27" s="12">
        <v>5</v>
      </c>
      <c r="H27" s="12">
        <v>2</v>
      </c>
      <c r="I27" s="13"/>
      <c r="J27" s="13">
        <f t="shared" si="0"/>
        <v>0</v>
      </c>
      <c r="K27" s="20"/>
      <c r="L27" s="12">
        <f t="shared" si="1"/>
        <v>0</v>
      </c>
      <c r="M27" s="12"/>
      <c r="N27" s="14">
        <f t="shared" si="2"/>
        <v>15</v>
      </c>
      <c r="O27" s="1"/>
    </row>
    <row r="28" spans="1:15" x14ac:dyDescent="0.25">
      <c r="A28" s="10">
        <v>23</v>
      </c>
      <c r="B28" s="12">
        <v>21033127</v>
      </c>
      <c r="C28" s="23" t="s">
        <v>77</v>
      </c>
      <c r="D28" s="11"/>
      <c r="E28" s="12">
        <v>3</v>
      </c>
      <c r="F28" s="12">
        <v>5</v>
      </c>
      <c r="G28" s="12">
        <v>5</v>
      </c>
      <c r="H28" s="12">
        <v>2</v>
      </c>
      <c r="I28" s="13"/>
      <c r="J28" s="13">
        <f t="shared" si="0"/>
        <v>0</v>
      </c>
      <c r="K28" s="20"/>
      <c r="L28" s="12">
        <f t="shared" si="1"/>
        <v>0</v>
      </c>
      <c r="M28" s="12"/>
      <c r="N28" s="14">
        <f t="shared" si="2"/>
        <v>15</v>
      </c>
      <c r="O28" s="1"/>
    </row>
    <row r="29" spans="1:15" x14ac:dyDescent="0.25">
      <c r="A29" s="10">
        <v>24</v>
      </c>
      <c r="B29" s="12">
        <v>21033129</v>
      </c>
      <c r="C29" s="23" t="s">
        <v>78</v>
      </c>
      <c r="D29" s="11"/>
      <c r="E29" s="12">
        <v>3</v>
      </c>
      <c r="F29" s="12">
        <v>5</v>
      </c>
      <c r="G29" s="12">
        <v>5</v>
      </c>
      <c r="H29" s="12">
        <v>2</v>
      </c>
      <c r="I29" s="13"/>
      <c r="J29" s="13">
        <f t="shared" si="0"/>
        <v>0</v>
      </c>
      <c r="K29" s="19"/>
      <c r="L29" s="12">
        <f t="shared" si="1"/>
        <v>0</v>
      </c>
      <c r="M29" s="12"/>
      <c r="N29" s="14">
        <f t="shared" si="2"/>
        <v>15</v>
      </c>
      <c r="O29" s="1"/>
    </row>
    <row r="30" spans="1:15" x14ac:dyDescent="0.25">
      <c r="A30" s="10">
        <v>25</v>
      </c>
      <c r="B30" s="12">
        <v>21033131</v>
      </c>
      <c r="C30" s="23" t="s">
        <v>79</v>
      </c>
      <c r="D30" s="11"/>
      <c r="E30" s="12">
        <v>3</v>
      </c>
      <c r="F30" s="12">
        <v>5</v>
      </c>
      <c r="G30" s="12">
        <v>5</v>
      </c>
      <c r="H30" s="12">
        <v>2</v>
      </c>
      <c r="I30" s="13"/>
      <c r="J30" s="13">
        <f t="shared" si="0"/>
        <v>0</v>
      </c>
      <c r="K30" s="12"/>
      <c r="L30" s="12">
        <f t="shared" si="1"/>
        <v>0</v>
      </c>
      <c r="M30" s="12"/>
      <c r="N30" s="14">
        <f t="shared" si="2"/>
        <v>15</v>
      </c>
      <c r="O30" s="1"/>
    </row>
    <row r="31" spans="1:15" x14ac:dyDescent="0.25">
      <c r="A31" s="10">
        <v>26</v>
      </c>
      <c r="B31" s="12">
        <v>21033135</v>
      </c>
      <c r="C31" s="23" t="s">
        <v>80</v>
      </c>
      <c r="D31" s="11"/>
      <c r="E31" s="12">
        <v>3</v>
      </c>
      <c r="F31" s="12">
        <v>5</v>
      </c>
      <c r="G31" s="12">
        <v>5</v>
      </c>
      <c r="H31" s="12">
        <v>2</v>
      </c>
      <c r="I31" s="13"/>
      <c r="J31" s="13">
        <f t="shared" si="0"/>
        <v>0</v>
      </c>
      <c r="K31" s="12"/>
      <c r="L31" s="12">
        <f t="shared" si="1"/>
        <v>0</v>
      </c>
      <c r="M31" s="12"/>
      <c r="N31" s="14">
        <f t="shared" si="2"/>
        <v>15</v>
      </c>
      <c r="O31" s="1"/>
    </row>
    <row r="32" spans="1:15" x14ac:dyDescent="0.25">
      <c r="A32" s="10">
        <v>27</v>
      </c>
      <c r="B32" s="12">
        <v>21033144</v>
      </c>
      <c r="C32" s="23" t="s">
        <v>81</v>
      </c>
      <c r="D32" s="11"/>
      <c r="E32" s="12">
        <v>3</v>
      </c>
      <c r="F32" s="12">
        <v>5</v>
      </c>
      <c r="G32" s="12">
        <v>5</v>
      </c>
      <c r="H32" s="12">
        <v>2</v>
      </c>
      <c r="I32" s="13"/>
      <c r="J32" s="13">
        <f t="shared" si="0"/>
        <v>0</v>
      </c>
      <c r="K32" s="19"/>
      <c r="L32" s="12">
        <f t="shared" si="1"/>
        <v>0</v>
      </c>
      <c r="M32" s="12"/>
      <c r="N32" s="14">
        <f t="shared" si="2"/>
        <v>15</v>
      </c>
      <c r="O32" s="1"/>
    </row>
    <row r="33" spans="1:15" x14ac:dyDescent="0.25">
      <c r="A33" s="10">
        <v>28</v>
      </c>
      <c r="B33" s="12">
        <v>21033148</v>
      </c>
      <c r="C33" s="23" t="s">
        <v>82</v>
      </c>
      <c r="D33" s="11"/>
      <c r="E33" s="12">
        <v>3</v>
      </c>
      <c r="F33" s="12">
        <v>5</v>
      </c>
      <c r="G33" s="12">
        <v>5</v>
      </c>
      <c r="H33" s="12">
        <v>2</v>
      </c>
      <c r="I33" s="13"/>
      <c r="J33" s="13">
        <f t="shared" si="0"/>
        <v>0</v>
      </c>
      <c r="K33" s="12"/>
      <c r="L33" s="12">
        <f t="shared" si="1"/>
        <v>0</v>
      </c>
      <c r="M33" s="12"/>
      <c r="N33" s="14">
        <f t="shared" si="2"/>
        <v>15</v>
      </c>
      <c r="O33" s="1"/>
    </row>
    <row r="34" spans="1:15" x14ac:dyDescent="0.25">
      <c r="A34" s="10">
        <v>29</v>
      </c>
      <c r="D34" s="11"/>
      <c r="E34" s="12">
        <v>3</v>
      </c>
      <c r="F34" s="12">
        <v>5</v>
      </c>
      <c r="G34" s="12">
        <v>5</v>
      </c>
      <c r="H34" s="12">
        <v>2</v>
      </c>
      <c r="I34" s="13"/>
      <c r="J34" s="13">
        <f t="shared" si="0"/>
        <v>0</v>
      </c>
      <c r="K34" s="12"/>
      <c r="L34" s="12">
        <f t="shared" si="1"/>
        <v>0</v>
      </c>
      <c r="M34" s="12"/>
      <c r="N34" s="14">
        <f t="shared" si="2"/>
        <v>15</v>
      </c>
      <c r="O34" s="1"/>
    </row>
    <row r="35" spans="1:15" x14ac:dyDescent="0.25">
      <c r="A35" s="10">
        <v>30</v>
      </c>
      <c r="B35" s="12"/>
      <c r="C35" s="23"/>
      <c r="D35" s="11"/>
      <c r="E35" s="12">
        <v>3</v>
      </c>
      <c r="F35" s="12">
        <v>5</v>
      </c>
      <c r="G35" s="12">
        <v>5</v>
      </c>
      <c r="H35" s="12">
        <v>2</v>
      </c>
      <c r="I35" s="13"/>
      <c r="J35" s="13">
        <f t="shared" si="0"/>
        <v>0</v>
      </c>
      <c r="K35" s="12"/>
      <c r="L35" s="12">
        <f t="shared" si="1"/>
        <v>0</v>
      </c>
      <c r="M35" s="12"/>
      <c r="N35" s="14">
        <f t="shared" si="2"/>
        <v>15</v>
      </c>
      <c r="O35" s="1"/>
    </row>
    <row r="36" spans="1:15" x14ac:dyDescent="0.25">
      <c r="A36" s="10">
        <v>31</v>
      </c>
      <c r="B36" s="12"/>
      <c r="C36" s="23"/>
      <c r="D36" s="11"/>
      <c r="E36" s="12">
        <v>3</v>
      </c>
      <c r="F36" s="12">
        <v>5</v>
      </c>
      <c r="G36" s="12">
        <v>5</v>
      </c>
      <c r="H36" s="12">
        <v>2</v>
      </c>
      <c r="I36" s="12"/>
      <c r="J36" s="13">
        <f t="shared" si="0"/>
        <v>0</v>
      </c>
      <c r="K36" s="12"/>
      <c r="L36" s="12">
        <f t="shared" si="1"/>
        <v>0</v>
      </c>
      <c r="M36" s="12"/>
      <c r="N36" s="14">
        <f t="shared" si="2"/>
        <v>15</v>
      </c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0" t="s">
        <v>17</v>
      </c>
      <c r="M38" s="50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0" t="s">
        <v>18</v>
      </c>
      <c r="M39" s="50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</sheetData>
  <mergeCells count="7">
    <mergeCell ref="L38:M38"/>
    <mergeCell ref="L39:M39"/>
    <mergeCell ref="A1:N1"/>
    <mergeCell ref="A2:N2"/>
    <mergeCell ref="A3:N3"/>
    <mergeCell ref="A4:B4"/>
    <mergeCell ref="C4:E4"/>
  </mergeCells>
  <pageMargins left="0.2" right="0.2" top="0.25" bottom="0.28000000000000003" header="0.16" footer="0.24"/>
  <pageSetup paperSize="9" scale="9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8"/>
  <sheetViews>
    <sheetView tabSelected="1" workbookViewId="0">
      <selection activeCell="M24" sqref="M24"/>
    </sheetView>
  </sheetViews>
  <sheetFormatPr defaultRowHeight="15" x14ac:dyDescent="0.25"/>
  <cols>
    <col min="1" max="1" width="9.28515625" bestFit="1" customWidth="1"/>
    <col min="2" max="2" width="10.140625" bestFit="1" customWidth="1"/>
    <col min="3" max="3" width="29.42578125" customWidth="1"/>
    <col min="4" max="4" width="15.7109375" bestFit="1" customWidth="1"/>
    <col min="5" max="5" width="13.85546875" bestFit="1" customWidth="1"/>
    <col min="6" max="6" width="15.5703125" bestFit="1" customWidth="1"/>
    <col min="7" max="7" width="24" bestFit="1" customWidth="1"/>
    <col min="8" max="8" width="10.85546875" bestFit="1" customWidth="1"/>
    <col min="9" max="9" width="40.28515625" bestFit="1" customWidth="1"/>
    <col min="10" max="10" width="12.5703125" bestFit="1" customWidth="1"/>
    <col min="11" max="11" width="41" bestFit="1" customWidth="1"/>
    <col min="12" max="12" width="7.5703125" bestFit="1" customWidth="1"/>
    <col min="13" max="13" width="10.140625" bestFit="1" customWidth="1"/>
    <col min="14" max="15" width="3" bestFit="1" customWidth="1"/>
    <col min="16" max="16" width="3.140625" bestFit="1" customWidth="1"/>
    <col min="17" max="17" width="2.140625" bestFit="1" customWidth="1"/>
    <col min="18" max="18" width="2.85546875" bestFit="1" customWidth="1"/>
    <col min="19" max="19" width="3.140625" bestFit="1" customWidth="1"/>
    <col min="20" max="20" width="2.140625" bestFit="1" customWidth="1"/>
  </cols>
  <sheetData>
    <row r="1" spans="1:20" ht="15.75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"/>
    </row>
    <row r="2" spans="1:20" ht="15.75" x14ac:dyDescent="0.2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1"/>
    </row>
    <row r="3" spans="1:20" ht="15.75" x14ac:dyDescent="0.25">
      <c r="A3" s="59" t="s">
        <v>99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1"/>
    </row>
    <row r="4" spans="1:20" ht="16.5" thickBot="1" x14ac:dyDescent="0.3">
      <c r="A4" s="60" t="s">
        <v>19</v>
      </c>
      <c r="B4" s="61"/>
      <c r="C4" s="62" t="s">
        <v>83</v>
      </c>
      <c r="D4" s="63"/>
      <c r="E4" s="63"/>
      <c r="F4" s="28" t="s">
        <v>98</v>
      </c>
      <c r="G4" s="29"/>
      <c r="H4" s="29"/>
      <c r="I4" s="29"/>
      <c r="J4" s="29"/>
      <c r="K4" s="64" t="s">
        <v>97</v>
      </c>
      <c r="L4" s="64"/>
      <c r="M4" s="64"/>
      <c r="N4" s="1"/>
    </row>
    <row r="5" spans="1:20" ht="48" thickBot="1" x14ac:dyDescent="0.3">
      <c r="A5" s="30" t="s">
        <v>3</v>
      </c>
      <c r="B5" s="31" t="s">
        <v>4</v>
      </c>
      <c r="C5" s="31" t="s">
        <v>5</v>
      </c>
      <c r="D5" s="26" t="s">
        <v>87</v>
      </c>
      <c r="E5" s="26" t="s">
        <v>88</v>
      </c>
      <c r="F5" s="26" t="s">
        <v>89</v>
      </c>
      <c r="G5" s="26" t="s">
        <v>90</v>
      </c>
      <c r="H5" s="26" t="s">
        <v>91</v>
      </c>
      <c r="I5" s="26" t="s">
        <v>92</v>
      </c>
      <c r="J5" s="26" t="s">
        <v>93</v>
      </c>
      <c r="K5" s="26" t="s">
        <v>94</v>
      </c>
      <c r="L5" s="27" t="s">
        <v>15</v>
      </c>
      <c r="M5" s="27" t="s">
        <v>95</v>
      </c>
      <c r="N5" s="1" t="s">
        <v>100</v>
      </c>
      <c r="O5" t="s">
        <v>101</v>
      </c>
      <c r="P5" t="s">
        <v>102</v>
      </c>
      <c r="Q5" t="s">
        <v>103</v>
      </c>
      <c r="R5" t="s">
        <v>104</v>
      </c>
      <c r="S5" t="s">
        <v>106</v>
      </c>
      <c r="T5" t="s">
        <v>105</v>
      </c>
    </row>
    <row r="6" spans="1:20" ht="15.75" x14ac:dyDescent="0.25">
      <c r="A6" s="32">
        <v>1</v>
      </c>
      <c r="B6" s="33">
        <v>21033075</v>
      </c>
      <c r="C6" s="25" t="s">
        <v>55</v>
      </c>
      <c r="D6" s="34">
        <v>4</v>
      </c>
      <c r="E6" s="33">
        <v>5</v>
      </c>
      <c r="F6" s="33">
        <v>5</v>
      </c>
      <c r="G6" s="33">
        <v>5</v>
      </c>
      <c r="H6" s="35">
        <v>22</v>
      </c>
      <c r="I6" s="35">
        <f>H6*2*0.1</f>
        <v>4.4000000000000004</v>
      </c>
      <c r="J6" s="36">
        <v>79</v>
      </c>
      <c r="K6" s="33">
        <f>J6*0.7</f>
        <v>55.3</v>
      </c>
      <c r="L6" s="33">
        <v>6</v>
      </c>
      <c r="M6" s="37">
        <f>D6+E6+F6+G6+I6+K6+L6</f>
        <v>84.699999999999989</v>
      </c>
      <c r="N6" s="1"/>
      <c r="O6">
        <v>1</v>
      </c>
    </row>
    <row r="7" spans="1:20" ht="15.75" x14ac:dyDescent="0.25">
      <c r="A7" s="32">
        <v>2</v>
      </c>
      <c r="B7" s="33">
        <v>21033077</v>
      </c>
      <c r="C7" s="25" t="s">
        <v>56</v>
      </c>
      <c r="D7" s="34">
        <v>5</v>
      </c>
      <c r="E7" s="33">
        <v>5</v>
      </c>
      <c r="F7" s="33">
        <v>5</v>
      </c>
      <c r="G7" s="33">
        <v>5</v>
      </c>
      <c r="H7" s="35">
        <v>32</v>
      </c>
      <c r="I7" s="35">
        <f t="shared" ref="I7:I32" si="0">H7*2*0.1</f>
        <v>6.4</v>
      </c>
      <c r="J7" s="33">
        <v>78</v>
      </c>
      <c r="K7" s="33">
        <f t="shared" ref="K7:K32" si="1">J7*0.7</f>
        <v>54.599999999999994</v>
      </c>
      <c r="L7" s="33">
        <v>9</v>
      </c>
      <c r="M7" s="37">
        <f t="shared" ref="M7:M30" si="2">D7+E7+F7+G7+I7+K7+L7</f>
        <v>90</v>
      </c>
      <c r="N7" s="1">
        <v>1</v>
      </c>
    </row>
    <row r="8" spans="1:20" ht="15.75" x14ac:dyDescent="0.25">
      <c r="A8" s="32">
        <v>3</v>
      </c>
      <c r="B8" s="33">
        <v>21033078</v>
      </c>
      <c r="C8" s="25" t="s">
        <v>57</v>
      </c>
      <c r="D8" s="34">
        <v>5</v>
      </c>
      <c r="E8" s="33">
        <v>5</v>
      </c>
      <c r="F8" s="33">
        <v>5</v>
      </c>
      <c r="G8" s="33">
        <v>5</v>
      </c>
      <c r="H8" s="35">
        <v>27</v>
      </c>
      <c r="I8" s="35">
        <f t="shared" si="0"/>
        <v>5.4</v>
      </c>
      <c r="J8" s="33">
        <v>83</v>
      </c>
      <c r="K8" s="33">
        <f t="shared" si="1"/>
        <v>58.099999999999994</v>
      </c>
      <c r="L8" s="33">
        <v>6</v>
      </c>
      <c r="M8" s="37">
        <f t="shared" si="2"/>
        <v>89.5</v>
      </c>
      <c r="N8" s="1">
        <v>1</v>
      </c>
    </row>
    <row r="9" spans="1:20" ht="15.75" x14ac:dyDescent="0.25">
      <c r="A9" s="32">
        <v>4</v>
      </c>
      <c r="B9" s="33">
        <v>21033080</v>
      </c>
      <c r="C9" s="25" t="s">
        <v>58</v>
      </c>
      <c r="D9" s="34">
        <v>5</v>
      </c>
      <c r="E9" s="33">
        <v>5</v>
      </c>
      <c r="F9" s="33">
        <v>5</v>
      </c>
      <c r="G9" s="33">
        <v>5</v>
      </c>
      <c r="H9" s="35">
        <v>30</v>
      </c>
      <c r="I9" s="35">
        <f t="shared" si="0"/>
        <v>6</v>
      </c>
      <c r="J9" s="33">
        <v>82</v>
      </c>
      <c r="K9" s="33">
        <f t="shared" si="1"/>
        <v>57.4</v>
      </c>
      <c r="L9" s="33">
        <v>7</v>
      </c>
      <c r="M9" s="37">
        <f t="shared" si="2"/>
        <v>90.4</v>
      </c>
      <c r="N9" s="1">
        <v>1</v>
      </c>
    </row>
    <row r="10" spans="1:20" ht="15.75" x14ac:dyDescent="0.25">
      <c r="A10" s="32">
        <v>5</v>
      </c>
      <c r="B10" s="33">
        <v>21033082</v>
      </c>
      <c r="C10" s="25" t="s">
        <v>59</v>
      </c>
      <c r="D10" s="34">
        <v>4</v>
      </c>
      <c r="E10" s="33">
        <v>4</v>
      </c>
      <c r="F10" s="33">
        <v>5</v>
      </c>
      <c r="G10" s="33">
        <v>5</v>
      </c>
      <c r="H10" s="35">
        <v>24</v>
      </c>
      <c r="I10" s="35">
        <f t="shared" si="0"/>
        <v>4.8000000000000007</v>
      </c>
      <c r="J10" s="33">
        <v>70</v>
      </c>
      <c r="K10" s="33">
        <f t="shared" si="1"/>
        <v>49</v>
      </c>
      <c r="L10" s="33">
        <v>3</v>
      </c>
      <c r="M10" s="37">
        <f t="shared" si="2"/>
        <v>74.8</v>
      </c>
      <c r="N10" s="1"/>
      <c r="Q10">
        <v>1</v>
      </c>
    </row>
    <row r="11" spans="1:20" ht="15.75" x14ac:dyDescent="0.25">
      <c r="A11" s="32">
        <v>6</v>
      </c>
      <c r="B11" s="33">
        <v>21033084</v>
      </c>
      <c r="C11" s="25" t="s">
        <v>60</v>
      </c>
      <c r="D11" s="34">
        <v>5</v>
      </c>
      <c r="E11" s="33">
        <v>5</v>
      </c>
      <c r="F11" s="33">
        <v>5</v>
      </c>
      <c r="G11" s="33">
        <v>5</v>
      </c>
      <c r="H11" s="35">
        <v>34</v>
      </c>
      <c r="I11" s="35">
        <f t="shared" si="0"/>
        <v>6.8000000000000007</v>
      </c>
      <c r="J11" s="33">
        <v>78</v>
      </c>
      <c r="K11" s="33">
        <f t="shared" si="1"/>
        <v>54.599999999999994</v>
      </c>
      <c r="L11" s="33">
        <v>4</v>
      </c>
      <c r="M11" s="37">
        <f t="shared" si="2"/>
        <v>85.399999999999991</v>
      </c>
      <c r="N11" s="1"/>
      <c r="O11">
        <v>1</v>
      </c>
    </row>
    <row r="12" spans="1:20" ht="15.75" x14ac:dyDescent="0.25">
      <c r="A12" s="32">
        <v>7</v>
      </c>
      <c r="B12" s="33">
        <v>21033087</v>
      </c>
      <c r="C12" s="25" t="s">
        <v>61</v>
      </c>
      <c r="D12" s="34">
        <v>4</v>
      </c>
      <c r="E12" s="33">
        <v>5</v>
      </c>
      <c r="F12" s="33">
        <v>5</v>
      </c>
      <c r="G12" s="33">
        <v>5</v>
      </c>
      <c r="H12" s="35">
        <v>32</v>
      </c>
      <c r="I12" s="35">
        <f t="shared" si="0"/>
        <v>6.4</v>
      </c>
      <c r="J12" s="33">
        <v>78</v>
      </c>
      <c r="K12" s="33">
        <f t="shared" si="1"/>
        <v>54.599999999999994</v>
      </c>
      <c r="L12" s="33">
        <v>5</v>
      </c>
      <c r="M12" s="37">
        <f t="shared" si="2"/>
        <v>85</v>
      </c>
      <c r="N12" s="1"/>
      <c r="O12">
        <v>1</v>
      </c>
    </row>
    <row r="13" spans="1:20" ht="15.75" x14ac:dyDescent="0.25">
      <c r="A13" s="32">
        <v>8</v>
      </c>
      <c r="B13" s="33">
        <v>21033095</v>
      </c>
      <c r="C13" s="25" t="s">
        <v>62</v>
      </c>
      <c r="D13" s="34">
        <v>4</v>
      </c>
      <c r="E13" s="33">
        <v>5</v>
      </c>
      <c r="F13" s="46"/>
      <c r="G13" s="46"/>
      <c r="H13" s="45" t="s">
        <v>96</v>
      </c>
      <c r="I13" s="45"/>
      <c r="J13" s="38">
        <v>75</v>
      </c>
      <c r="K13" s="33">
        <f t="shared" si="1"/>
        <v>52.5</v>
      </c>
      <c r="L13" s="33">
        <v>8</v>
      </c>
      <c r="M13" s="37">
        <f t="shared" si="2"/>
        <v>69.5</v>
      </c>
      <c r="N13" s="1"/>
      <c r="R13">
        <v>1</v>
      </c>
    </row>
    <row r="14" spans="1:20" ht="15.75" x14ac:dyDescent="0.25">
      <c r="A14" s="32">
        <v>9</v>
      </c>
      <c r="B14" s="33">
        <v>21033097</v>
      </c>
      <c r="C14" s="25" t="s">
        <v>63</v>
      </c>
      <c r="D14" s="34">
        <v>4</v>
      </c>
      <c r="E14" s="33">
        <v>5</v>
      </c>
      <c r="F14" s="33">
        <v>5</v>
      </c>
      <c r="G14" s="33">
        <v>5</v>
      </c>
      <c r="H14" s="35">
        <v>16</v>
      </c>
      <c r="I14" s="35">
        <f t="shared" si="0"/>
        <v>3.2</v>
      </c>
      <c r="J14" s="38">
        <v>68</v>
      </c>
      <c r="K14" s="33">
        <f t="shared" si="1"/>
        <v>47.599999999999994</v>
      </c>
      <c r="L14" s="33">
        <v>10</v>
      </c>
      <c r="M14" s="37">
        <f t="shared" si="2"/>
        <v>79.8</v>
      </c>
      <c r="N14" s="1"/>
      <c r="P14">
        <v>1</v>
      </c>
    </row>
    <row r="15" spans="1:20" ht="15.75" x14ac:dyDescent="0.25">
      <c r="A15" s="32">
        <v>10</v>
      </c>
      <c r="B15" s="33">
        <v>21033098</v>
      </c>
      <c r="C15" s="25" t="s">
        <v>64</v>
      </c>
      <c r="D15" s="34">
        <v>5</v>
      </c>
      <c r="E15" s="33">
        <v>5</v>
      </c>
      <c r="F15" s="33">
        <v>5</v>
      </c>
      <c r="G15" s="33">
        <v>5</v>
      </c>
      <c r="H15" s="35">
        <v>36</v>
      </c>
      <c r="I15" s="35">
        <f t="shared" si="0"/>
        <v>7.2</v>
      </c>
      <c r="J15" s="38">
        <v>74</v>
      </c>
      <c r="K15" s="33">
        <f t="shared" si="1"/>
        <v>51.8</v>
      </c>
      <c r="L15" s="33">
        <v>11</v>
      </c>
      <c r="M15" s="37">
        <f t="shared" si="2"/>
        <v>90</v>
      </c>
      <c r="N15" s="1">
        <v>1</v>
      </c>
    </row>
    <row r="16" spans="1:20" ht="15.75" x14ac:dyDescent="0.25">
      <c r="A16" s="32">
        <v>11</v>
      </c>
      <c r="B16" s="33">
        <v>21033100</v>
      </c>
      <c r="C16" s="25" t="s">
        <v>65</v>
      </c>
      <c r="D16" s="34">
        <v>3</v>
      </c>
      <c r="E16" s="33">
        <v>5</v>
      </c>
      <c r="F16" s="33">
        <v>5</v>
      </c>
      <c r="G16" s="33">
        <v>5</v>
      </c>
      <c r="H16" s="35">
        <v>15</v>
      </c>
      <c r="I16" s="35">
        <f t="shared" si="0"/>
        <v>3</v>
      </c>
      <c r="J16" s="38">
        <v>68</v>
      </c>
      <c r="K16" s="33">
        <f t="shared" si="1"/>
        <v>47.599999999999994</v>
      </c>
      <c r="L16" s="33">
        <v>6</v>
      </c>
      <c r="M16" s="37">
        <f t="shared" si="2"/>
        <v>74.599999999999994</v>
      </c>
      <c r="N16" s="1"/>
      <c r="Q16">
        <v>1</v>
      </c>
    </row>
    <row r="17" spans="1:20" ht="15.75" x14ac:dyDescent="0.25">
      <c r="A17" s="32">
        <v>12</v>
      </c>
      <c r="B17" s="33">
        <v>21033101</v>
      </c>
      <c r="C17" s="25" t="s">
        <v>66</v>
      </c>
      <c r="D17" s="34">
        <v>5</v>
      </c>
      <c r="E17" s="33">
        <v>5</v>
      </c>
      <c r="F17" s="33">
        <v>5</v>
      </c>
      <c r="G17" s="33">
        <v>5</v>
      </c>
      <c r="H17" s="35">
        <v>31</v>
      </c>
      <c r="I17" s="35">
        <f t="shared" si="0"/>
        <v>6.2</v>
      </c>
      <c r="J17" s="38">
        <v>73</v>
      </c>
      <c r="K17" s="33">
        <f t="shared" si="1"/>
        <v>51.099999999999994</v>
      </c>
      <c r="L17" s="33">
        <v>13</v>
      </c>
      <c r="M17" s="37">
        <f t="shared" si="2"/>
        <v>90.3</v>
      </c>
      <c r="N17" s="1">
        <v>1</v>
      </c>
    </row>
    <row r="18" spans="1:20" ht="15.75" x14ac:dyDescent="0.25">
      <c r="A18" s="32">
        <v>13</v>
      </c>
      <c r="B18" s="33">
        <v>21033102</v>
      </c>
      <c r="C18" s="25" t="s">
        <v>67</v>
      </c>
      <c r="D18" s="34">
        <v>5</v>
      </c>
      <c r="E18" s="33">
        <v>5</v>
      </c>
      <c r="F18" s="33">
        <v>5</v>
      </c>
      <c r="G18" s="33">
        <v>5</v>
      </c>
      <c r="H18" s="35">
        <v>29</v>
      </c>
      <c r="I18" s="35">
        <f t="shared" si="0"/>
        <v>5.8000000000000007</v>
      </c>
      <c r="J18" s="38">
        <v>74</v>
      </c>
      <c r="K18" s="33">
        <f t="shared" si="1"/>
        <v>51.8</v>
      </c>
      <c r="L18" s="33">
        <v>12</v>
      </c>
      <c r="M18" s="37">
        <f t="shared" si="2"/>
        <v>89.6</v>
      </c>
      <c r="N18" s="1">
        <v>1</v>
      </c>
    </row>
    <row r="19" spans="1:20" ht="15.75" x14ac:dyDescent="0.25">
      <c r="A19" s="32">
        <v>14</v>
      </c>
      <c r="B19" s="33">
        <v>21033103</v>
      </c>
      <c r="C19" s="25" t="s">
        <v>68</v>
      </c>
      <c r="D19" s="34">
        <v>3</v>
      </c>
      <c r="E19" s="33">
        <v>5</v>
      </c>
      <c r="F19" s="33">
        <v>5</v>
      </c>
      <c r="G19" s="33">
        <v>5</v>
      </c>
      <c r="H19" s="35">
        <v>22</v>
      </c>
      <c r="I19" s="35">
        <f t="shared" si="0"/>
        <v>4.4000000000000004</v>
      </c>
      <c r="J19" s="38">
        <v>71</v>
      </c>
      <c r="K19" s="33">
        <f t="shared" si="1"/>
        <v>49.699999999999996</v>
      </c>
      <c r="L19" s="33">
        <v>3</v>
      </c>
      <c r="M19" s="37">
        <f t="shared" si="2"/>
        <v>75.099999999999994</v>
      </c>
      <c r="N19" s="1"/>
      <c r="Q19">
        <v>1</v>
      </c>
    </row>
    <row r="20" spans="1:20" ht="15.75" x14ac:dyDescent="0.25">
      <c r="A20" s="32">
        <v>15</v>
      </c>
      <c r="B20" s="33">
        <v>21033104</v>
      </c>
      <c r="C20" s="25" t="s">
        <v>69</v>
      </c>
      <c r="D20" s="34">
        <v>5</v>
      </c>
      <c r="E20" s="33">
        <v>5</v>
      </c>
      <c r="F20" s="33">
        <v>5</v>
      </c>
      <c r="G20" s="33">
        <v>5</v>
      </c>
      <c r="H20" s="35">
        <v>35</v>
      </c>
      <c r="I20" s="35">
        <f t="shared" si="0"/>
        <v>7</v>
      </c>
      <c r="J20" s="38">
        <v>80</v>
      </c>
      <c r="K20" s="33">
        <f t="shared" si="1"/>
        <v>56</v>
      </c>
      <c r="L20" s="33">
        <v>7</v>
      </c>
      <c r="M20" s="37">
        <f t="shared" si="2"/>
        <v>90</v>
      </c>
      <c r="N20" s="1">
        <v>1</v>
      </c>
    </row>
    <row r="21" spans="1:20" ht="15.75" x14ac:dyDescent="0.25">
      <c r="A21" s="32">
        <v>16</v>
      </c>
      <c r="B21" s="33">
        <v>21033107</v>
      </c>
      <c r="C21" s="25" t="s">
        <v>70</v>
      </c>
      <c r="D21" s="34">
        <v>5</v>
      </c>
      <c r="E21" s="33">
        <v>5</v>
      </c>
      <c r="F21" s="46"/>
      <c r="G21" s="33">
        <v>5</v>
      </c>
      <c r="H21" s="35">
        <v>14</v>
      </c>
      <c r="I21" s="35">
        <f t="shared" si="0"/>
        <v>2.8000000000000003</v>
      </c>
      <c r="J21" s="38">
        <v>76</v>
      </c>
      <c r="K21" s="33">
        <f t="shared" si="1"/>
        <v>53.199999999999996</v>
      </c>
      <c r="L21" s="33">
        <v>4</v>
      </c>
      <c r="M21" s="37">
        <f t="shared" si="2"/>
        <v>75</v>
      </c>
      <c r="N21" s="1"/>
      <c r="Q21">
        <v>1</v>
      </c>
    </row>
    <row r="22" spans="1:20" ht="15.75" x14ac:dyDescent="0.25">
      <c r="A22" s="32">
        <v>17</v>
      </c>
      <c r="B22" s="33">
        <v>21033110</v>
      </c>
      <c r="C22" s="25" t="s">
        <v>71</v>
      </c>
      <c r="D22" s="34">
        <v>5</v>
      </c>
      <c r="E22" s="33">
        <v>5</v>
      </c>
      <c r="F22" s="33">
        <v>5</v>
      </c>
      <c r="G22" s="33">
        <v>5</v>
      </c>
      <c r="H22" s="35">
        <v>22</v>
      </c>
      <c r="I22" s="35">
        <f t="shared" si="0"/>
        <v>4.4000000000000004</v>
      </c>
      <c r="J22" s="38">
        <v>81</v>
      </c>
      <c r="K22" s="33">
        <f t="shared" si="1"/>
        <v>56.699999999999996</v>
      </c>
      <c r="L22" s="33">
        <v>9</v>
      </c>
      <c r="M22" s="37">
        <f t="shared" si="2"/>
        <v>90.1</v>
      </c>
      <c r="N22" s="1">
        <v>1</v>
      </c>
    </row>
    <row r="23" spans="1:20" ht="15.75" x14ac:dyDescent="0.25">
      <c r="A23" s="32">
        <v>18</v>
      </c>
      <c r="B23" s="33">
        <v>21033114</v>
      </c>
      <c r="C23" s="25" t="s">
        <v>72</v>
      </c>
      <c r="D23" s="34">
        <v>5</v>
      </c>
      <c r="E23" s="33">
        <v>5</v>
      </c>
      <c r="F23" s="33">
        <v>5</v>
      </c>
      <c r="G23" s="33">
        <v>5</v>
      </c>
      <c r="H23" s="35">
        <v>35</v>
      </c>
      <c r="I23" s="35">
        <f t="shared" si="0"/>
        <v>7</v>
      </c>
      <c r="J23" s="38">
        <v>73</v>
      </c>
      <c r="K23" s="33">
        <f t="shared" si="1"/>
        <v>51.099999999999994</v>
      </c>
      <c r="L23" s="33">
        <v>12</v>
      </c>
      <c r="M23" s="37">
        <f t="shared" si="2"/>
        <v>90.1</v>
      </c>
      <c r="N23" s="1">
        <v>1</v>
      </c>
    </row>
    <row r="24" spans="1:20" ht="15.75" x14ac:dyDescent="0.25">
      <c r="A24" s="32">
        <v>19</v>
      </c>
      <c r="B24" s="33">
        <v>21033118</v>
      </c>
      <c r="C24" s="25" t="s">
        <v>73</v>
      </c>
      <c r="D24" s="34">
        <v>1</v>
      </c>
      <c r="E24" s="33">
        <v>5</v>
      </c>
      <c r="F24" s="46"/>
      <c r="G24" s="46"/>
      <c r="H24" s="45" t="s">
        <v>96</v>
      </c>
      <c r="I24" s="45"/>
      <c r="J24" s="38">
        <v>74</v>
      </c>
      <c r="K24" s="33">
        <f t="shared" si="1"/>
        <v>51.8</v>
      </c>
      <c r="L24" s="33">
        <v>7</v>
      </c>
      <c r="M24" s="37">
        <f t="shared" si="2"/>
        <v>64.8</v>
      </c>
      <c r="N24" s="1"/>
      <c r="S24">
        <v>1</v>
      </c>
    </row>
    <row r="25" spans="1:20" ht="15.75" x14ac:dyDescent="0.25">
      <c r="A25" s="32">
        <v>20</v>
      </c>
      <c r="B25" s="33">
        <v>21033121</v>
      </c>
      <c r="C25" s="39" t="s">
        <v>74</v>
      </c>
      <c r="D25" s="34">
        <v>4</v>
      </c>
      <c r="E25" s="33">
        <v>5</v>
      </c>
      <c r="F25" s="33">
        <v>5</v>
      </c>
      <c r="G25" s="33">
        <v>5</v>
      </c>
      <c r="H25" s="35">
        <v>33</v>
      </c>
      <c r="I25" s="35">
        <f t="shared" si="0"/>
        <v>6.6000000000000005</v>
      </c>
      <c r="J25" s="38">
        <v>77</v>
      </c>
      <c r="K25" s="33">
        <f t="shared" si="1"/>
        <v>53.9</v>
      </c>
      <c r="L25" s="33">
        <v>10</v>
      </c>
      <c r="M25" s="37">
        <f t="shared" si="2"/>
        <v>89.5</v>
      </c>
      <c r="N25" s="1">
        <v>1</v>
      </c>
    </row>
    <row r="26" spans="1:20" ht="15.75" x14ac:dyDescent="0.25">
      <c r="A26" s="32">
        <v>21</v>
      </c>
      <c r="B26" s="33">
        <v>21033125</v>
      </c>
      <c r="C26" s="25" t="s">
        <v>75</v>
      </c>
      <c r="D26" s="34">
        <v>1</v>
      </c>
      <c r="E26" s="33">
        <v>5</v>
      </c>
      <c r="F26" s="46"/>
      <c r="G26" s="46"/>
      <c r="H26" s="45" t="s">
        <v>96</v>
      </c>
      <c r="I26" s="45"/>
      <c r="J26" s="38">
        <v>60</v>
      </c>
      <c r="K26" s="33">
        <f t="shared" si="1"/>
        <v>42</v>
      </c>
      <c r="L26" s="33">
        <v>12</v>
      </c>
      <c r="M26" s="37">
        <f t="shared" si="2"/>
        <v>60</v>
      </c>
      <c r="N26" s="1"/>
      <c r="T26">
        <v>1</v>
      </c>
    </row>
    <row r="27" spans="1:20" ht="15.75" x14ac:dyDescent="0.25">
      <c r="A27" s="32">
        <v>22</v>
      </c>
      <c r="B27" s="33">
        <v>21033126</v>
      </c>
      <c r="C27" s="25" t="s">
        <v>76</v>
      </c>
      <c r="D27" s="34">
        <v>4</v>
      </c>
      <c r="E27" s="33">
        <v>5</v>
      </c>
      <c r="F27" s="33">
        <v>5</v>
      </c>
      <c r="G27" s="33">
        <v>5</v>
      </c>
      <c r="H27" s="35">
        <v>21</v>
      </c>
      <c r="I27" s="35">
        <f t="shared" si="0"/>
        <v>4.2</v>
      </c>
      <c r="J27" s="38">
        <v>81</v>
      </c>
      <c r="K27" s="33">
        <f t="shared" si="1"/>
        <v>56.699999999999996</v>
      </c>
      <c r="L27" s="33">
        <v>5</v>
      </c>
      <c r="M27" s="37">
        <f t="shared" si="2"/>
        <v>84.899999999999991</v>
      </c>
      <c r="N27" s="1"/>
      <c r="O27">
        <v>1</v>
      </c>
    </row>
    <row r="28" spans="1:20" ht="15.75" x14ac:dyDescent="0.25">
      <c r="A28" s="32">
        <v>23</v>
      </c>
      <c r="B28" s="33">
        <v>21033127</v>
      </c>
      <c r="C28" s="25" t="s">
        <v>77</v>
      </c>
      <c r="D28" s="34">
        <v>5</v>
      </c>
      <c r="E28" s="33">
        <v>5</v>
      </c>
      <c r="F28" s="33">
        <v>5</v>
      </c>
      <c r="G28" s="33">
        <v>5</v>
      </c>
      <c r="H28" s="35">
        <v>39</v>
      </c>
      <c r="I28" s="35">
        <f t="shared" si="0"/>
        <v>7.8000000000000007</v>
      </c>
      <c r="J28" s="38">
        <v>84</v>
      </c>
      <c r="K28" s="33">
        <f t="shared" si="1"/>
        <v>58.8</v>
      </c>
      <c r="L28" s="33">
        <v>3</v>
      </c>
      <c r="M28" s="37">
        <f t="shared" si="2"/>
        <v>89.6</v>
      </c>
      <c r="N28" s="1">
        <v>1</v>
      </c>
    </row>
    <row r="29" spans="1:20" ht="15.75" x14ac:dyDescent="0.25">
      <c r="A29" s="32">
        <v>24</v>
      </c>
      <c r="B29" s="33">
        <v>21033129</v>
      </c>
      <c r="C29" s="25" t="s">
        <v>78</v>
      </c>
      <c r="D29" s="34">
        <v>4</v>
      </c>
      <c r="E29" s="33">
        <v>5</v>
      </c>
      <c r="F29" s="33">
        <v>5</v>
      </c>
      <c r="G29" s="33">
        <v>5</v>
      </c>
      <c r="H29" s="35">
        <v>24</v>
      </c>
      <c r="I29" s="35">
        <f t="shared" si="0"/>
        <v>4.8000000000000007</v>
      </c>
      <c r="J29" s="38">
        <v>74</v>
      </c>
      <c r="K29" s="33">
        <f t="shared" si="1"/>
        <v>51.8</v>
      </c>
      <c r="L29" s="33">
        <v>9</v>
      </c>
      <c r="M29" s="37">
        <f t="shared" si="2"/>
        <v>84.6</v>
      </c>
      <c r="N29" s="1"/>
      <c r="O29">
        <v>1</v>
      </c>
    </row>
    <row r="30" spans="1:20" ht="15.75" x14ac:dyDescent="0.25">
      <c r="A30" s="32">
        <v>25</v>
      </c>
      <c r="B30" s="33">
        <v>21033131</v>
      </c>
      <c r="C30" s="25" t="s">
        <v>79</v>
      </c>
      <c r="D30" s="34">
        <v>4</v>
      </c>
      <c r="E30" s="33">
        <v>4</v>
      </c>
      <c r="F30" s="33">
        <v>5</v>
      </c>
      <c r="G30" s="33">
        <v>5</v>
      </c>
      <c r="H30" s="35">
        <v>23</v>
      </c>
      <c r="I30" s="35">
        <f t="shared" si="0"/>
        <v>4.6000000000000005</v>
      </c>
      <c r="J30" s="33">
        <v>79</v>
      </c>
      <c r="K30" s="33">
        <f t="shared" si="1"/>
        <v>55.3</v>
      </c>
      <c r="L30" s="33">
        <v>2</v>
      </c>
      <c r="M30" s="37">
        <f t="shared" si="2"/>
        <v>79.900000000000006</v>
      </c>
      <c r="N30" s="1"/>
      <c r="P30">
        <v>1</v>
      </c>
    </row>
    <row r="31" spans="1:20" ht="15.75" x14ac:dyDescent="0.25">
      <c r="A31" s="32">
        <v>26</v>
      </c>
      <c r="B31" s="46">
        <v>21033135</v>
      </c>
      <c r="C31" s="49" t="s">
        <v>80</v>
      </c>
      <c r="D31" s="46">
        <v>0</v>
      </c>
      <c r="E31" s="46">
        <v>0</v>
      </c>
      <c r="F31" s="46"/>
      <c r="G31" s="46"/>
      <c r="H31" s="45" t="s">
        <v>96</v>
      </c>
      <c r="I31" s="45"/>
      <c r="J31" s="46"/>
      <c r="K31" s="46">
        <f t="shared" si="1"/>
        <v>0</v>
      </c>
      <c r="L31" s="46"/>
      <c r="M31" s="47" t="s">
        <v>96</v>
      </c>
      <c r="N31" s="1"/>
    </row>
    <row r="32" spans="1:20" ht="15.75" x14ac:dyDescent="0.25">
      <c r="A32" s="32">
        <v>27</v>
      </c>
      <c r="B32" s="33">
        <v>21033148</v>
      </c>
      <c r="C32" s="25" t="s">
        <v>82</v>
      </c>
      <c r="D32" s="34">
        <v>4</v>
      </c>
      <c r="E32" s="33">
        <v>4</v>
      </c>
      <c r="F32" s="33">
        <v>5</v>
      </c>
      <c r="G32" s="48">
        <v>5</v>
      </c>
      <c r="H32" s="35">
        <v>24</v>
      </c>
      <c r="I32" s="35">
        <f t="shared" si="0"/>
        <v>4.8000000000000007</v>
      </c>
      <c r="J32" s="33">
        <v>77</v>
      </c>
      <c r="K32" s="33">
        <f t="shared" si="1"/>
        <v>53.9</v>
      </c>
      <c r="L32" s="33">
        <v>8</v>
      </c>
      <c r="M32" s="37">
        <f>D32+E32+F32+G32+I32+K32+L32</f>
        <v>84.7</v>
      </c>
      <c r="N32" s="1"/>
      <c r="O32">
        <v>1</v>
      </c>
    </row>
    <row r="33" spans="1:20" ht="15.75" x14ac:dyDescent="0.25">
      <c r="A33" s="40"/>
      <c r="B33" s="40"/>
      <c r="C33" s="41"/>
      <c r="D33" s="42"/>
      <c r="E33" s="40"/>
      <c r="F33" s="40"/>
      <c r="G33" s="40"/>
      <c r="H33" s="43"/>
      <c r="I33" s="43"/>
      <c r="J33" s="40"/>
      <c r="K33" s="40"/>
      <c r="L33" s="40"/>
      <c r="M33" s="44"/>
      <c r="N33">
        <f>SUM(N6:N32)</f>
        <v>11</v>
      </c>
      <c r="O33">
        <f t="shared" ref="O33:T33" si="3">SUM(O6:O32)</f>
        <v>6</v>
      </c>
      <c r="P33">
        <f t="shared" si="3"/>
        <v>2</v>
      </c>
      <c r="Q33">
        <f t="shared" si="3"/>
        <v>4</v>
      </c>
      <c r="R33">
        <f t="shared" si="3"/>
        <v>1</v>
      </c>
      <c r="S33">
        <f t="shared" si="3"/>
        <v>1</v>
      </c>
      <c r="T33">
        <f t="shared" si="3"/>
        <v>1</v>
      </c>
    </row>
    <row r="34" spans="1:20" ht="15.75" x14ac:dyDescent="0.25">
      <c r="A34" s="40"/>
      <c r="B34" s="40"/>
      <c r="C34" s="41"/>
      <c r="D34" s="42"/>
      <c r="E34" s="40"/>
      <c r="F34" s="40"/>
      <c r="G34" s="40"/>
      <c r="H34" s="43"/>
      <c r="I34" s="43"/>
      <c r="J34" s="40"/>
      <c r="K34" s="40"/>
      <c r="L34" s="40"/>
      <c r="M34" s="44"/>
      <c r="N34" s="1"/>
    </row>
    <row r="35" spans="1:20" ht="15.75" x14ac:dyDescent="0.25">
      <c r="A35" s="40"/>
      <c r="B35" s="40"/>
      <c r="C35" s="41"/>
      <c r="D35" s="42"/>
      <c r="E35" s="40"/>
      <c r="F35" s="40"/>
      <c r="G35" s="40"/>
      <c r="H35" s="43"/>
      <c r="I35" s="43"/>
      <c r="J35" s="40"/>
      <c r="K35" s="40"/>
      <c r="L35" s="40"/>
      <c r="M35" s="44"/>
      <c r="N35" s="1"/>
    </row>
    <row r="36" spans="1:20" ht="15.75" x14ac:dyDescent="0.25">
      <c r="A36" s="40"/>
      <c r="B36" s="40"/>
      <c r="C36" s="41"/>
      <c r="D36" s="42"/>
      <c r="E36" s="40"/>
      <c r="F36" s="40"/>
      <c r="G36" s="40"/>
      <c r="H36" s="43"/>
      <c r="I36" s="43"/>
      <c r="J36" s="40"/>
      <c r="K36" s="40"/>
      <c r="L36" s="40"/>
      <c r="M36" s="44"/>
      <c r="N36" s="1"/>
    </row>
    <row r="37" spans="1: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50" t="s">
        <v>17</v>
      </c>
      <c r="L37" s="50"/>
      <c r="M37" s="1"/>
      <c r="N37" s="1"/>
    </row>
    <row r="38" spans="1: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50" t="s">
        <v>18</v>
      </c>
      <c r="L38" s="50"/>
      <c r="M38" s="1"/>
      <c r="N38" s="1"/>
    </row>
    <row r="39" spans="1: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2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2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2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2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</sheetData>
  <mergeCells count="8">
    <mergeCell ref="K37:L37"/>
    <mergeCell ref="K38:L38"/>
    <mergeCell ref="A1:M1"/>
    <mergeCell ref="A2:M2"/>
    <mergeCell ref="A3:M3"/>
    <mergeCell ref="A4:B4"/>
    <mergeCell ref="C4:E4"/>
    <mergeCell ref="K4:M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 Business </vt:lpstr>
      <vt:lpstr> Business Envirroment  </vt:lpstr>
      <vt:lpstr>Fundamentals of Entrepreneurshi</vt:lpstr>
      <vt:lpstr>Bank Operations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2025-04-04T02:57:09Z</dcterms:modified>
</cp:coreProperties>
</file>