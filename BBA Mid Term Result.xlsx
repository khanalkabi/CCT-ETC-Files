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5700" activeTab="4"/>
  </bookViews>
  <sheets>
    <sheet name="BBA II" sheetId="8" r:id="rId1"/>
    <sheet name="Sheet2" sheetId="9" state="hidden" r:id="rId2"/>
    <sheet name="BBA IV" sheetId="1" r:id="rId3"/>
    <sheet name="BBA VI" sheetId="2" r:id="rId4"/>
    <sheet name="BBA VIII" sheetId="3" r:id="rId5"/>
  </sheets>
  <calcPr calcId="162913"/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" i="1"/>
  <c r="K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5" i="2"/>
  <c r="K6" i="3" l="1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5" i="3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6" i="8"/>
</calcChain>
</file>

<file path=xl/sharedStrings.xml><?xml version="1.0" encoding="utf-8"?>
<sst xmlns="http://schemas.openxmlformats.org/spreadsheetml/2006/main" count="457" uniqueCount="194">
  <si>
    <t>Crimson College of Technology</t>
  </si>
  <si>
    <t>S.N</t>
  </si>
  <si>
    <t>Name</t>
  </si>
  <si>
    <t>Full Marks</t>
  </si>
  <si>
    <t>Pass Mark</t>
  </si>
  <si>
    <t>Total Marks</t>
  </si>
  <si>
    <t>Remarks</t>
  </si>
  <si>
    <t xml:space="preserve">Aarati Neupane </t>
  </si>
  <si>
    <t>Abisha Saru</t>
  </si>
  <si>
    <t>Abishek Pandey(PU)</t>
  </si>
  <si>
    <t>Alisha Sunuwar</t>
  </si>
  <si>
    <t>Amrit Pandey</t>
  </si>
  <si>
    <t>Aneesh Pun</t>
  </si>
  <si>
    <t>Anjana Baraghare</t>
  </si>
  <si>
    <t>Anjil Pantha</t>
  </si>
  <si>
    <t xml:space="preserve">Anshika Gupta </t>
  </si>
  <si>
    <t>Asmita Chaudhary</t>
  </si>
  <si>
    <t>Astha Thapa</t>
  </si>
  <si>
    <t>Babita Karki</t>
  </si>
  <si>
    <t>Bhawana Pangeni</t>
  </si>
  <si>
    <t>Bidhya Subedi</t>
  </si>
  <si>
    <t>Binod Bakabal</t>
  </si>
  <si>
    <t>Bipana Adhikari(PU)</t>
  </si>
  <si>
    <t>Bipin Pnadey(PU)</t>
  </si>
  <si>
    <t>Eugene Rai</t>
  </si>
  <si>
    <t>Himal kafle(PU)</t>
  </si>
  <si>
    <t>Ismile Khadka</t>
  </si>
  <si>
    <t>Jasmine Pun Magar</t>
  </si>
  <si>
    <t>kishor Panthi(PU)</t>
  </si>
  <si>
    <t>Krishna Kunwar(PU)</t>
  </si>
  <si>
    <t>Kritika Tandan(PU)</t>
  </si>
  <si>
    <t xml:space="preserve">Manish Gharti </t>
  </si>
  <si>
    <t>Manish Khanal(pu)</t>
  </si>
  <si>
    <t>Monika Gautam(PU)</t>
  </si>
  <si>
    <t>Monika Gupta(PU)</t>
  </si>
  <si>
    <t>Nishan Pandeya</t>
  </si>
  <si>
    <t>Pankaj Kurmi</t>
  </si>
  <si>
    <t>Prakriti k.c</t>
  </si>
  <si>
    <t>Pritam Pantha</t>
  </si>
  <si>
    <t>Priya Neupane</t>
  </si>
  <si>
    <t>Puspa Thapa</t>
  </si>
  <si>
    <t>Ramesh Saru</t>
  </si>
  <si>
    <t>Ritika Bada</t>
  </si>
  <si>
    <t xml:space="preserve">Ritika K.C </t>
  </si>
  <si>
    <t>Rohit Chaudhary</t>
  </si>
  <si>
    <t>Sachin Chudali</t>
  </si>
  <si>
    <t xml:space="preserve">Sanam Ale  </t>
  </si>
  <si>
    <t>Sandhya Aryal</t>
  </si>
  <si>
    <t xml:space="preserve">Sandhya Rijal </t>
  </si>
  <si>
    <t xml:space="preserve">Simran Thapa </t>
  </si>
  <si>
    <t>Usha Bashyal</t>
  </si>
  <si>
    <t>Aakriti Gywali (PU)</t>
  </si>
  <si>
    <t>Akrti Pandey (PU)</t>
  </si>
  <si>
    <t>Aman Upadhyaya</t>
  </si>
  <si>
    <t>Amrita Pandey</t>
  </si>
  <si>
    <t>Amrita Pandey (PU)</t>
  </si>
  <si>
    <t>Anusha Gyawali</t>
  </si>
  <si>
    <t>Ayusha Khanal (PU)</t>
  </si>
  <si>
    <t>Bhawana Pandey (PU)</t>
  </si>
  <si>
    <t>Bipana Neupane (PU)</t>
  </si>
  <si>
    <t>Ishana Neupane</t>
  </si>
  <si>
    <t>Mega Thapa</t>
  </si>
  <si>
    <t>Nirmala Kunwar</t>
  </si>
  <si>
    <t>Nishant Rana</t>
  </si>
  <si>
    <t>Prakriti Pandey (PU)</t>
  </si>
  <si>
    <t>Pratikshya Paudyal</t>
  </si>
  <si>
    <t>Ranjana Kumari Chaudhary Tharu</t>
  </si>
  <si>
    <t>Rohit Tulachan</t>
  </si>
  <si>
    <t>Rupa Darlami (PU)</t>
  </si>
  <si>
    <t>Sampada Bagale</t>
  </si>
  <si>
    <t>Sangita Bhusal</t>
  </si>
  <si>
    <t>Shristi Pandey</t>
  </si>
  <si>
    <t>Simran Chhetri</t>
  </si>
  <si>
    <t>Thakur Prasad Khanal (PU)</t>
  </si>
  <si>
    <t>Yushika Gurung</t>
  </si>
  <si>
    <t>Aarjoo Bajragharya</t>
  </si>
  <si>
    <t>Aashish Rayamajhi</t>
  </si>
  <si>
    <t>Aayush Khadka</t>
  </si>
  <si>
    <t>Abhishek Pandey</t>
  </si>
  <si>
    <t>Amrit Gyawali</t>
  </si>
  <si>
    <t xml:space="preserve">Anup gahatraj </t>
  </si>
  <si>
    <t>Asmita Gaihre</t>
  </si>
  <si>
    <t>Barsha Kunwar</t>
  </si>
  <si>
    <t>Bikash Khatri Kshetri</t>
  </si>
  <si>
    <t>Chhabi Shrees</t>
  </si>
  <si>
    <t>Deepali Godar</t>
  </si>
  <si>
    <t>Gyanu Sharma Sapkota</t>
  </si>
  <si>
    <t>Himani Poudel</t>
  </si>
  <si>
    <t>Mahefuj Husen</t>
  </si>
  <si>
    <t>Muna Bhattarai</t>
  </si>
  <si>
    <t>Muskan Shrestha</t>
  </si>
  <si>
    <t>Nabin Khanal</t>
  </si>
  <si>
    <t>Niraj Shrestha</t>
  </si>
  <si>
    <t>Nitesh Kumar Kafle</t>
  </si>
  <si>
    <t>Pankaj Sharma Bashyal</t>
  </si>
  <si>
    <t>pooja Kumari Ray</t>
  </si>
  <si>
    <t>Prabesh Bhattarai</t>
  </si>
  <si>
    <t>Pradip Neupane</t>
  </si>
  <si>
    <t>Pratibha Gaire</t>
  </si>
  <si>
    <t>Pratishya BK</t>
  </si>
  <si>
    <t>Priya Pokhrel</t>
  </si>
  <si>
    <t>Rabina Chhetri</t>
  </si>
  <si>
    <t>Ramin Gautam</t>
  </si>
  <si>
    <t>Rupa Giri</t>
  </si>
  <si>
    <t>Sabina Panth(P.U)</t>
  </si>
  <si>
    <t>Sandeepa Rakas</t>
  </si>
  <si>
    <t>Sarswati Yadav</t>
  </si>
  <si>
    <t>Sarmila BK (PU)</t>
  </si>
  <si>
    <t>Shishir Chhetri</t>
  </si>
  <si>
    <t>Suraj Bhandari</t>
  </si>
  <si>
    <t>Vagirathi Dhungana</t>
  </si>
  <si>
    <t>Fail</t>
  </si>
  <si>
    <t>S.N.</t>
  </si>
  <si>
    <t>Symbol No.</t>
  </si>
  <si>
    <t>Pass</t>
  </si>
  <si>
    <t>Sofiya Gurung</t>
  </si>
  <si>
    <t>BBA 8th Semester (Results)</t>
  </si>
  <si>
    <t>Department of Management(Mid Term Examination 2025 Spring)</t>
  </si>
  <si>
    <t>Department of Management (Mid Term Examination 2025 Spring</t>
  </si>
  <si>
    <t>BBA 6th Semester (Results)</t>
  </si>
  <si>
    <t>BBA 4th Semester (Results)</t>
  </si>
  <si>
    <t>Department of Management (Mid Term Examination 2025 spring)</t>
  </si>
  <si>
    <t>BBA 2nd. Semester (Results)</t>
  </si>
  <si>
    <t xml:space="preserve">Aagya Gyawali </t>
  </si>
  <si>
    <t xml:space="preserve">Aliza Chapagain </t>
  </si>
  <si>
    <t>Amuna Bohara (PU)</t>
  </si>
  <si>
    <t xml:space="preserve">Arman Shrestha </t>
  </si>
  <si>
    <t xml:space="preserve">Bhumika Bhat chhetri </t>
  </si>
  <si>
    <t xml:space="preserve">Binita Dhakal </t>
  </si>
  <si>
    <t xml:space="preserve">Binita Pandey </t>
  </si>
  <si>
    <t>Bishal Kurmi</t>
  </si>
  <si>
    <t xml:space="preserve">Bishnu Thapa </t>
  </si>
  <si>
    <t xml:space="preserve">David Kapali </t>
  </si>
  <si>
    <t xml:space="preserve">Denisha Thapa </t>
  </si>
  <si>
    <t xml:space="preserve">Divya Barnwar </t>
  </si>
  <si>
    <t xml:space="preserve">Gautam Yadav </t>
  </si>
  <si>
    <t>Ishika Yadav</t>
  </si>
  <si>
    <t xml:space="preserve">Jayanti Dhungana </t>
  </si>
  <si>
    <t>Karishma Karki</t>
  </si>
  <si>
    <t xml:space="preserve">Krishna Bahadur Thapa </t>
  </si>
  <si>
    <t xml:space="preserve">Kritika Shrestha </t>
  </si>
  <si>
    <t xml:space="preserve">Kushma Bote </t>
  </si>
  <si>
    <t xml:space="preserve">Mamata Shrestha </t>
  </si>
  <si>
    <t>Manoj Paudel</t>
  </si>
  <si>
    <t xml:space="preserve">Nhurjhuma Gurung </t>
  </si>
  <si>
    <t xml:space="preserve">Paru Atreya </t>
  </si>
  <si>
    <t>Prabesh Bhandari (PU)</t>
  </si>
  <si>
    <t xml:space="preserve">Prashant Ghimire </t>
  </si>
  <si>
    <t>Pratikshya Neupane</t>
  </si>
  <si>
    <t xml:space="preserve">Prinsha Kunwar </t>
  </si>
  <si>
    <t xml:space="preserve">Priyanka Acharya (PU) </t>
  </si>
  <si>
    <t>Rajani Kandel</t>
  </si>
  <si>
    <t>Rama Rayamajhi</t>
  </si>
  <si>
    <t xml:space="preserve">Rasmi Parajuli </t>
  </si>
  <si>
    <t>Rekha Bhandari</t>
  </si>
  <si>
    <t>Sachin Bashyal</t>
  </si>
  <si>
    <t xml:space="preserve">Sahid Miya </t>
  </si>
  <si>
    <t>Samana Dhakal</t>
  </si>
  <si>
    <t>Samikshya Bhattarai</t>
  </si>
  <si>
    <t>Sandesh Adhikari</t>
  </si>
  <si>
    <t>Sandesh Pantha</t>
  </si>
  <si>
    <t>Sandesh Puri</t>
  </si>
  <si>
    <t>Sandesh Sharma</t>
  </si>
  <si>
    <t>Saugat Chhetri</t>
  </si>
  <si>
    <t>Soniya Bashyal</t>
  </si>
  <si>
    <t>Sujain Chaudhary</t>
  </si>
  <si>
    <t>Surendra Yadav</t>
  </si>
  <si>
    <t>Swekshya Chaudhary</t>
  </si>
  <si>
    <t>Ukesh Gahatraj</t>
  </si>
  <si>
    <t xml:space="preserve">Usha Karki </t>
  </si>
  <si>
    <t xml:space="preserve">Business Communication </t>
  </si>
  <si>
    <t>Business Mathematics</t>
  </si>
  <si>
    <t>Organizational Behavior</t>
  </si>
  <si>
    <t>Financial Accounting</t>
  </si>
  <si>
    <t>Symbol No</t>
  </si>
  <si>
    <t>Introduction to Financial Management</t>
  </si>
  <si>
    <t>Data Analysis &amp; Modeling</t>
  </si>
  <si>
    <t>Human Resource Management</t>
  </si>
  <si>
    <t>Business &amp; Society</t>
  </si>
  <si>
    <t>Business Research Method</t>
  </si>
  <si>
    <t>Businesss &amp; Society</t>
  </si>
  <si>
    <t>Introduction to MIS</t>
  </si>
  <si>
    <t>Financial Institutions &amp; Markets</t>
  </si>
  <si>
    <t>Insurance &amp; Risk Management</t>
  </si>
  <si>
    <t>Introduction to International Business</t>
  </si>
  <si>
    <t>Media &amp; Public Relations</t>
  </si>
  <si>
    <t>Essentials of e-Business</t>
  </si>
  <si>
    <t>Starategic  Management</t>
  </si>
  <si>
    <t xml:space="preserve">Legal Aspects of Business&amp; Technology            </t>
  </si>
  <si>
    <t>-</t>
  </si>
  <si>
    <t xml:space="preserve"> </t>
  </si>
  <si>
    <t>ABSENT</t>
  </si>
  <si>
    <t>.</t>
  </si>
  <si>
    <t>Introduction To Microeconomics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</si>
</sst>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9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1" xfId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9" fillId="0" borderId="0" xfId="0" applyFont="1" applyAlignment="1">
      <alignment wrapText="1"/>
    </xf>
    <xf numFmtId="0" fontId="0" fillId="0" borderId="0" xfId="0" applyBorder="1"/>
    <xf numFmtId="0" fontId="7" fillId="3" borderId="1" xfId="0" applyFont="1" applyFill="1" applyBorder="1" applyAlignment="1">
      <alignment horizontal="center"/>
    </xf>
    <xf numFmtId="0" fontId="0" fillId="2" borderId="1" xfId="0" applyFill="1" applyBorder="1"/>
    <xf numFmtId="0" fontId="2" fillId="2" borderId="0" xfId="0" applyFont="1" applyFill="1"/>
    <xf numFmtId="0" fontId="4" fillId="2" borderId="1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4" xfId="1" applyFont="1" applyFill="1" applyBorder="1" applyAlignment="1">
      <alignment horizontal="center"/>
    </xf>
    <xf numFmtId="0" fontId="0" fillId="2" borderId="4" xfId="0" applyFill="1" applyBorder="1"/>
    <xf numFmtId="0" fontId="9" fillId="0" borderId="4" xfId="0" applyFont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6" fillId="2" borderId="4" xfId="0" applyFont="1" applyFill="1" applyBorder="1" applyAlignment="1">
      <alignment horizontal="center" vertical="top"/>
    </xf>
    <xf numFmtId="0" fontId="10" fillId="2" borderId="6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/>
    </xf>
    <xf numFmtId="0" fontId="9" fillId="0" borderId="0" xfId="0" applyFont="1" applyFill="1"/>
    <xf numFmtId="0" fontId="12" fillId="0" borderId="1" xfId="1" applyFont="1" applyFill="1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2" fillId="0" borderId="4" xfId="1" applyFont="1" applyFill="1" applyBorder="1" applyAlignment="1">
      <alignment horizontal="center"/>
    </xf>
    <xf numFmtId="0" fontId="12" fillId="0" borderId="4" xfId="1" applyFont="1" applyFill="1" applyBorder="1"/>
    <xf numFmtId="0" fontId="13" fillId="2" borderId="4" xfId="0" applyFont="1" applyFill="1" applyBorder="1" applyAlignment="1">
      <alignment horizontal="center"/>
    </xf>
    <xf numFmtId="0" fontId="12" fillId="0" borderId="4" xfId="0" applyFont="1" applyBorder="1" applyAlignment="1">
      <alignment horizontal="center" vertical="top"/>
    </xf>
    <xf numFmtId="0" fontId="13" fillId="0" borderId="1" xfId="0" applyFont="1" applyBorder="1" applyAlignment="1">
      <alignment horizontal="center"/>
    </xf>
    <xf numFmtId="0" fontId="12" fillId="0" borderId="1" xfId="1" applyFont="1" applyFill="1" applyBorder="1"/>
    <xf numFmtId="0" fontId="13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3" fillId="0" borderId="1" xfId="1" applyFont="1" applyFill="1" applyBorder="1"/>
    <xf numFmtId="0" fontId="13" fillId="0" borderId="0" xfId="0" applyFont="1" applyAlignment="1">
      <alignment horizontal="center"/>
    </xf>
    <xf numFmtId="0" fontId="12" fillId="0" borderId="2" xfId="1" applyFont="1" applyFill="1" applyBorder="1"/>
    <xf numFmtId="0" fontId="12" fillId="0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/>
    <xf numFmtId="0" fontId="0" fillId="2" borderId="4" xfId="0" applyFont="1" applyFill="1" applyBorder="1" applyAlignment="1">
      <alignment horizontal="center"/>
    </xf>
    <xf numFmtId="0" fontId="0" fillId="2" borderId="4" xfId="0" applyFont="1" applyFill="1" applyBorder="1"/>
    <xf numFmtId="0" fontId="4" fillId="2" borderId="4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0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/>
    <xf numFmtId="0" fontId="10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0" xfId="0" applyFont="1" applyBorder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</cellXfs>
  <cellStyles count="5">
    <cellStyle name="Normal" xfId="0" builtinId="0"/>
    <cellStyle name="Normal 10" xfId="3"/>
    <cellStyle name="Normal 2" xfId="1"/>
    <cellStyle name="Normal 8" xfId="2"/>
    <cellStyle name="Normal 9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16</xdr:col>
      <xdr:colOff>0</xdr:colOff>
      <xdr:row>39</xdr:row>
      <xdr:rowOff>28575</xdr:rowOff>
    </xdr:to>
    <xdr:pic>
      <xdr:nvPicPr>
        <xdr:cNvPr id="2" name="Picture 1" descr="https://cct.edu.np/wp-content/uploads/2026/06/1000112373-1024x743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9753600" cy="7077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4"/>
  <sheetViews>
    <sheetView workbookViewId="0">
      <selection activeCell="D32" sqref="D32"/>
    </sheetView>
  </sheetViews>
  <sheetFormatPr defaultRowHeight="15" x14ac:dyDescent="0.25"/>
  <cols>
    <col min="1" max="1" width="5" style="27" customWidth="1"/>
    <col min="2" max="2" width="9.7109375" customWidth="1"/>
    <col min="3" max="3" width="19.42578125" customWidth="1"/>
    <col min="4" max="4" width="11.85546875" style="27" customWidth="1"/>
    <col min="5" max="5" width="9.7109375" customWidth="1"/>
    <col min="6" max="6" width="15.85546875" customWidth="1"/>
    <col min="7" max="7" width="12.7109375" customWidth="1"/>
    <col min="8" max="8" width="14.5703125" customWidth="1"/>
    <col min="9" max="9" width="12.5703125" customWidth="1"/>
    <col min="10" max="10" width="12" customWidth="1"/>
    <col min="11" max="11" width="16.5703125" customWidth="1"/>
    <col min="12" max="12" width="14.5703125" customWidth="1"/>
  </cols>
  <sheetData>
    <row r="1" spans="1:12" x14ac:dyDescent="0.25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</row>
    <row r="2" spans="1:12" x14ac:dyDescent="0.25">
      <c r="A2" s="87" t="s">
        <v>121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2" x14ac:dyDescent="0.25">
      <c r="A3" s="87" t="s">
        <v>122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2" ht="15.75" thickBot="1" x14ac:dyDescent="0.3">
      <c r="A4" s="88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30.75" customHeight="1" thickBot="1" x14ac:dyDescent="0.3">
      <c r="A5" s="36" t="s">
        <v>112</v>
      </c>
      <c r="B5" s="37" t="s">
        <v>174</v>
      </c>
      <c r="C5" s="38" t="s">
        <v>2</v>
      </c>
      <c r="D5" s="37" t="s">
        <v>3</v>
      </c>
      <c r="E5" s="37" t="s">
        <v>4</v>
      </c>
      <c r="F5" s="39" t="s">
        <v>170</v>
      </c>
      <c r="G5" s="39" t="s">
        <v>171</v>
      </c>
      <c r="H5" s="39" t="s">
        <v>193</v>
      </c>
      <c r="I5" s="39" t="s">
        <v>172</v>
      </c>
      <c r="J5" s="40" t="s">
        <v>173</v>
      </c>
      <c r="K5" s="41" t="s">
        <v>5</v>
      </c>
      <c r="L5" s="42" t="s">
        <v>6</v>
      </c>
    </row>
    <row r="6" spans="1:12" x14ac:dyDescent="0.25">
      <c r="A6" s="30">
        <v>1</v>
      </c>
      <c r="B6" s="31">
        <v>25030920</v>
      </c>
      <c r="C6" s="32" t="s">
        <v>123</v>
      </c>
      <c r="D6" s="33">
        <v>50</v>
      </c>
      <c r="E6" s="33">
        <v>23</v>
      </c>
      <c r="F6" s="34">
        <v>29</v>
      </c>
      <c r="G6" s="35">
        <v>19</v>
      </c>
      <c r="H6" s="34">
        <v>33</v>
      </c>
      <c r="I6" s="34">
        <v>35</v>
      </c>
      <c r="J6" s="34">
        <v>34</v>
      </c>
      <c r="K6" s="34">
        <f>SUM(F6+G6+H6+I6+J6)</f>
        <v>150</v>
      </c>
      <c r="L6" s="21" t="s">
        <v>111</v>
      </c>
    </row>
    <row r="7" spans="1:12" x14ac:dyDescent="0.25">
      <c r="A7" s="4">
        <v>2</v>
      </c>
      <c r="B7" s="10">
        <v>25030921</v>
      </c>
      <c r="C7" s="22" t="s">
        <v>124</v>
      </c>
      <c r="D7" s="11">
        <v>50</v>
      </c>
      <c r="E7" s="11">
        <v>23</v>
      </c>
      <c r="F7" s="12">
        <v>34</v>
      </c>
      <c r="G7" s="3">
        <v>17</v>
      </c>
      <c r="H7" s="12">
        <v>36</v>
      </c>
      <c r="I7" s="12">
        <v>32</v>
      </c>
      <c r="J7" s="12">
        <v>40</v>
      </c>
      <c r="K7" s="34">
        <f t="shared" ref="K7:K52" si="0">SUM(F7+G7+H7+I7+J7)</f>
        <v>159</v>
      </c>
      <c r="L7" s="21" t="s">
        <v>111</v>
      </c>
    </row>
    <row r="8" spans="1:12" x14ac:dyDescent="0.25">
      <c r="A8" s="4">
        <v>3</v>
      </c>
      <c r="B8" s="10">
        <v>25030922</v>
      </c>
      <c r="C8" s="22" t="s">
        <v>125</v>
      </c>
      <c r="D8" s="11">
        <v>50</v>
      </c>
      <c r="E8" s="11">
        <v>23</v>
      </c>
      <c r="F8" s="12">
        <v>29</v>
      </c>
      <c r="G8" s="11">
        <v>23</v>
      </c>
      <c r="H8" s="12">
        <v>30</v>
      </c>
      <c r="I8" s="12">
        <v>34</v>
      </c>
      <c r="J8" s="12">
        <v>38</v>
      </c>
      <c r="K8" s="34">
        <f t="shared" si="0"/>
        <v>154</v>
      </c>
      <c r="L8" s="13" t="s">
        <v>114</v>
      </c>
    </row>
    <row r="9" spans="1:12" x14ac:dyDescent="0.25">
      <c r="A9" s="4">
        <v>4</v>
      </c>
      <c r="B9" s="10">
        <v>25030923</v>
      </c>
      <c r="C9" s="22" t="s">
        <v>126</v>
      </c>
      <c r="D9" s="11">
        <v>50</v>
      </c>
      <c r="E9" s="11">
        <v>23</v>
      </c>
      <c r="F9" s="12">
        <v>4</v>
      </c>
      <c r="G9" s="11" t="s">
        <v>191</v>
      </c>
      <c r="H9" s="12">
        <v>9</v>
      </c>
      <c r="I9" s="12">
        <v>11</v>
      </c>
      <c r="J9" s="11" t="s">
        <v>191</v>
      </c>
      <c r="K9" s="34" t="e">
        <f t="shared" si="0"/>
        <v>#VALUE!</v>
      </c>
      <c r="L9" s="21" t="s">
        <v>111</v>
      </c>
    </row>
    <row r="10" spans="1:12" x14ac:dyDescent="0.25">
      <c r="A10" s="4">
        <v>5</v>
      </c>
      <c r="B10" s="10">
        <v>25030924</v>
      </c>
      <c r="C10" s="22" t="s">
        <v>127</v>
      </c>
      <c r="D10" s="11">
        <v>50</v>
      </c>
      <c r="E10" s="11">
        <v>23</v>
      </c>
      <c r="F10" s="12">
        <v>35</v>
      </c>
      <c r="G10" s="11">
        <v>4</v>
      </c>
      <c r="H10" s="11">
        <v>29</v>
      </c>
      <c r="I10" s="12">
        <v>34</v>
      </c>
      <c r="J10" s="12">
        <v>33</v>
      </c>
      <c r="K10" s="34">
        <f t="shared" si="0"/>
        <v>135</v>
      </c>
      <c r="L10" s="21" t="s">
        <v>111</v>
      </c>
    </row>
    <row r="11" spans="1:12" x14ac:dyDescent="0.25">
      <c r="A11" s="4">
        <v>6</v>
      </c>
      <c r="B11" s="10">
        <v>25030925</v>
      </c>
      <c r="C11" s="22" t="s">
        <v>128</v>
      </c>
      <c r="D11" s="11">
        <v>50</v>
      </c>
      <c r="E11" s="11">
        <v>23</v>
      </c>
      <c r="F11" s="12">
        <v>28</v>
      </c>
      <c r="G11" s="11">
        <v>26</v>
      </c>
      <c r="H11" s="12">
        <v>25</v>
      </c>
      <c r="I11" s="12">
        <v>31</v>
      </c>
      <c r="J11" s="12">
        <v>22</v>
      </c>
      <c r="K11" s="34">
        <f t="shared" si="0"/>
        <v>132</v>
      </c>
      <c r="L11" s="21" t="s">
        <v>111</v>
      </c>
    </row>
    <row r="12" spans="1:12" x14ac:dyDescent="0.25">
      <c r="A12" s="4">
        <v>7</v>
      </c>
      <c r="B12" s="10">
        <v>25030926</v>
      </c>
      <c r="C12" s="22" t="s">
        <v>129</v>
      </c>
      <c r="D12" s="11">
        <v>50</v>
      </c>
      <c r="E12" s="11">
        <v>23</v>
      </c>
      <c r="F12" s="12">
        <v>29</v>
      </c>
      <c r="G12" s="11">
        <v>36</v>
      </c>
      <c r="H12" s="12">
        <v>36</v>
      </c>
      <c r="I12" s="12">
        <v>38</v>
      </c>
      <c r="J12" s="12">
        <v>25</v>
      </c>
      <c r="K12" s="34">
        <f t="shared" si="0"/>
        <v>164</v>
      </c>
      <c r="L12" s="13" t="s">
        <v>114</v>
      </c>
    </row>
    <row r="13" spans="1:12" x14ac:dyDescent="0.25">
      <c r="A13" s="4">
        <v>8</v>
      </c>
      <c r="B13" s="10">
        <v>25030927</v>
      </c>
      <c r="C13" s="22" t="s">
        <v>130</v>
      </c>
      <c r="D13" s="11">
        <v>50</v>
      </c>
      <c r="E13" s="11">
        <v>23</v>
      </c>
      <c r="F13" s="12">
        <v>18</v>
      </c>
      <c r="G13" s="11">
        <v>1</v>
      </c>
      <c r="H13" s="12">
        <v>12</v>
      </c>
      <c r="I13" s="12">
        <v>28</v>
      </c>
      <c r="J13" s="12">
        <v>8</v>
      </c>
      <c r="K13" s="34">
        <f t="shared" si="0"/>
        <v>67</v>
      </c>
      <c r="L13" s="21" t="s">
        <v>111</v>
      </c>
    </row>
    <row r="14" spans="1:12" x14ac:dyDescent="0.25">
      <c r="A14" s="4">
        <v>9</v>
      </c>
      <c r="B14" s="10">
        <v>25030928</v>
      </c>
      <c r="C14" s="22" t="s">
        <v>131</v>
      </c>
      <c r="D14" s="11">
        <v>50</v>
      </c>
      <c r="E14" s="11">
        <v>23</v>
      </c>
      <c r="F14" s="12">
        <v>8</v>
      </c>
      <c r="G14" s="11">
        <v>27</v>
      </c>
      <c r="H14" s="12">
        <v>12</v>
      </c>
      <c r="I14" s="12">
        <v>25</v>
      </c>
      <c r="J14" s="12">
        <v>23</v>
      </c>
      <c r="K14" s="34">
        <f t="shared" si="0"/>
        <v>95</v>
      </c>
      <c r="L14" s="21" t="s">
        <v>111</v>
      </c>
    </row>
    <row r="15" spans="1:12" x14ac:dyDescent="0.25">
      <c r="A15" s="4">
        <v>10</v>
      </c>
      <c r="B15" s="10">
        <v>25030929</v>
      </c>
      <c r="C15" s="22" t="s">
        <v>132</v>
      </c>
      <c r="D15" s="11">
        <v>50</v>
      </c>
      <c r="E15" s="11">
        <v>23</v>
      </c>
      <c r="F15" s="12">
        <v>4</v>
      </c>
      <c r="G15" s="11">
        <v>7</v>
      </c>
      <c r="H15" s="12">
        <v>9</v>
      </c>
      <c r="I15" s="12">
        <v>10</v>
      </c>
      <c r="J15" s="12" t="s">
        <v>191</v>
      </c>
      <c r="K15" s="34" t="e">
        <f t="shared" si="0"/>
        <v>#VALUE!</v>
      </c>
      <c r="L15" s="21" t="s">
        <v>111</v>
      </c>
    </row>
    <row r="16" spans="1:12" x14ac:dyDescent="0.25">
      <c r="A16" s="4">
        <v>11</v>
      </c>
      <c r="B16" s="10">
        <v>25030930</v>
      </c>
      <c r="C16" s="22" t="s">
        <v>133</v>
      </c>
      <c r="D16" s="11">
        <v>50</v>
      </c>
      <c r="E16" s="11">
        <v>23</v>
      </c>
      <c r="F16" s="11" t="s">
        <v>191</v>
      </c>
      <c r="G16" s="11" t="s">
        <v>191</v>
      </c>
      <c r="H16" s="12">
        <v>6</v>
      </c>
      <c r="I16" s="12" t="s">
        <v>189</v>
      </c>
      <c r="J16" s="12" t="s">
        <v>191</v>
      </c>
      <c r="K16" s="34" t="e">
        <f t="shared" si="0"/>
        <v>#VALUE!</v>
      </c>
      <c r="L16" s="21" t="s">
        <v>111</v>
      </c>
    </row>
    <row r="17" spans="1:12" x14ac:dyDescent="0.25">
      <c r="A17" s="4">
        <v>12</v>
      </c>
      <c r="B17" s="10">
        <v>25030931</v>
      </c>
      <c r="C17" s="22" t="s">
        <v>134</v>
      </c>
      <c r="D17" s="11">
        <v>50</v>
      </c>
      <c r="E17" s="11">
        <v>23</v>
      </c>
      <c r="F17" s="11" t="s">
        <v>191</v>
      </c>
      <c r="G17" s="11" t="s">
        <v>191</v>
      </c>
      <c r="H17" s="11" t="s">
        <v>191</v>
      </c>
      <c r="I17" s="12" t="s">
        <v>189</v>
      </c>
      <c r="J17" s="12" t="s">
        <v>191</v>
      </c>
      <c r="K17" s="34" t="e">
        <f t="shared" si="0"/>
        <v>#VALUE!</v>
      </c>
      <c r="L17" s="21" t="s">
        <v>111</v>
      </c>
    </row>
    <row r="18" spans="1:12" x14ac:dyDescent="0.25">
      <c r="A18" s="4">
        <v>13</v>
      </c>
      <c r="B18" s="10">
        <v>25030932</v>
      </c>
      <c r="C18" s="22" t="s">
        <v>135</v>
      </c>
      <c r="D18" s="11">
        <v>50</v>
      </c>
      <c r="E18" s="11">
        <v>23</v>
      </c>
      <c r="F18" s="12">
        <v>19</v>
      </c>
      <c r="G18" s="11">
        <v>2</v>
      </c>
      <c r="H18" s="12">
        <v>16</v>
      </c>
      <c r="I18" s="12">
        <v>26</v>
      </c>
      <c r="J18" s="12">
        <v>15</v>
      </c>
      <c r="K18" s="34">
        <f t="shared" si="0"/>
        <v>78</v>
      </c>
      <c r="L18" s="21" t="s">
        <v>111</v>
      </c>
    </row>
    <row r="19" spans="1:12" x14ac:dyDescent="0.25">
      <c r="A19" s="4">
        <v>14</v>
      </c>
      <c r="B19" s="10">
        <v>25030933</v>
      </c>
      <c r="C19" s="22" t="s">
        <v>136</v>
      </c>
      <c r="D19" s="11">
        <v>50</v>
      </c>
      <c r="E19" s="11">
        <v>23</v>
      </c>
      <c r="F19" s="12">
        <v>32</v>
      </c>
      <c r="G19" s="11">
        <v>24</v>
      </c>
      <c r="H19" s="12">
        <v>34</v>
      </c>
      <c r="I19" s="12">
        <v>31</v>
      </c>
      <c r="J19" s="12">
        <v>46</v>
      </c>
      <c r="K19" s="34">
        <f t="shared" si="0"/>
        <v>167</v>
      </c>
      <c r="L19" s="13" t="s">
        <v>114</v>
      </c>
    </row>
    <row r="20" spans="1:12" x14ac:dyDescent="0.25">
      <c r="A20" s="4">
        <v>15</v>
      </c>
      <c r="B20" s="10">
        <v>25030934</v>
      </c>
      <c r="C20" s="22" t="s">
        <v>137</v>
      </c>
      <c r="D20" s="11">
        <v>50</v>
      </c>
      <c r="E20" s="11">
        <v>23</v>
      </c>
      <c r="F20" s="12" t="s">
        <v>191</v>
      </c>
      <c r="G20" s="11" t="s">
        <v>191</v>
      </c>
      <c r="H20" s="12" t="s">
        <v>191</v>
      </c>
      <c r="I20" s="12" t="s">
        <v>189</v>
      </c>
      <c r="J20" s="12" t="s">
        <v>191</v>
      </c>
      <c r="K20" s="34" t="e">
        <f t="shared" si="0"/>
        <v>#VALUE!</v>
      </c>
      <c r="L20" s="21" t="s">
        <v>111</v>
      </c>
    </row>
    <row r="21" spans="1:12" x14ac:dyDescent="0.25">
      <c r="A21" s="4">
        <v>16</v>
      </c>
      <c r="B21" s="10">
        <v>25030935</v>
      </c>
      <c r="C21" s="22" t="s">
        <v>138</v>
      </c>
      <c r="D21" s="11">
        <v>50</v>
      </c>
      <c r="E21" s="11">
        <v>23</v>
      </c>
      <c r="F21" s="12">
        <v>39</v>
      </c>
      <c r="G21" s="11">
        <v>40</v>
      </c>
      <c r="H21" s="12">
        <v>26</v>
      </c>
      <c r="I21" s="12">
        <v>40</v>
      </c>
      <c r="J21" s="12">
        <v>7</v>
      </c>
      <c r="K21" s="34">
        <f t="shared" si="0"/>
        <v>152</v>
      </c>
      <c r="L21" s="21" t="s">
        <v>111</v>
      </c>
    </row>
    <row r="22" spans="1:12" x14ac:dyDescent="0.25">
      <c r="A22" s="4">
        <v>17</v>
      </c>
      <c r="B22" s="10">
        <v>25030936</v>
      </c>
      <c r="C22" s="22" t="s">
        <v>139</v>
      </c>
      <c r="D22" s="11">
        <v>50</v>
      </c>
      <c r="E22" s="11">
        <v>23</v>
      </c>
      <c r="F22" s="12">
        <v>2</v>
      </c>
      <c r="G22" s="11">
        <v>1</v>
      </c>
      <c r="H22" s="12">
        <v>18</v>
      </c>
      <c r="I22" s="12">
        <v>7</v>
      </c>
      <c r="J22" s="12">
        <v>13</v>
      </c>
      <c r="K22" s="34">
        <f t="shared" si="0"/>
        <v>41</v>
      </c>
      <c r="L22" s="21" t="s">
        <v>111</v>
      </c>
    </row>
    <row r="23" spans="1:12" x14ac:dyDescent="0.25">
      <c r="A23" s="4">
        <v>18</v>
      </c>
      <c r="B23" s="10">
        <v>25030937</v>
      </c>
      <c r="C23" s="22" t="s">
        <v>140</v>
      </c>
      <c r="D23" s="11">
        <v>50</v>
      </c>
      <c r="E23" s="11">
        <v>23</v>
      </c>
      <c r="F23" s="12">
        <v>16</v>
      </c>
      <c r="G23" s="11">
        <v>9</v>
      </c>
      <c r="H23" s="12">
        <v>14</v>
      </c>
      <c r="I23" s="12">
        <v>18</v>
      </c>
      <c r="J23" s="12">
        <v>19</v>
      </c>
      <c r="K23" s="34">
        <f t="shared" si="0"/>
        <v>76</v>
      </c>
      <c r="L23" s="21" t="s">
        <v>111</v>
      </c>
    </row>
    <row r="24" spans="1:12" x14ac:dyDescent="0.25">
      <c r="A24" s="4">
        <v>19</v>
      </c>
      <c r="B24" s="10">
        <v>25030938</v>
      </c>
      <c r="C24" s="22" t="s">
        <v>141</v>
      </c>
      <c r="D24" s="11">
        <v>50</v>
      </c>
      <c r="E24" s="11">
        <v>23</v>
      </c>
      <c r="F24" s="12">
        <v>13</v>
      </c>
      <c r="G24" s="11">
        <v>5</v>
      </c>
      <c r="H24" s="12">
        <v>12</v>
      </c>
      <c r="I24" s="12">
        <v>31</v>
      </c>
      <c r="J24" s="12">
        <v>23</v>
      </c>
      <c r="K24" s="34">
        <f t="shared" si="0"/>
        <v>84</v>
      </c>
      <c r="L24" s="21" t="s">
        <v>111</v>
      </c>
    </row>
    <row r="25" spans="1:12" x14ac:dyDescent="0.25">
      <c r="A25" s="4">
        <v>20</v>
      </c>
      <c r="B25" s="10">
        <v>25030939</v>
      </c>
      <c r="C25" s="22" t="s">
        <v>142</v>
      </c>
      <c r="D25" s="11">
        <v>50</v>
      </c>
      <c r="E25" s="11">
        <v>23</v>
      </c>
      <c r="F25" s="12">
        <v>22</v>
      </c>
      <c r="G25" s="11">
        <v>26</v>
      </c>
      <c r="H25" s="12">
        <v>26</v>
      </c>
      <c r="I25" s="12">
        <v>37</v>
      </c>
      <c r="J25" s="12">
        <v>26</v>
      </c>
      <c r="K25" s="34">
        <f t="shared" si="0"/>
        <v>137</v>
      </c>
      <c r="L25" s="21" t="s">
        <v>111</v>
      </c>
    </row>
    <row r="26" spans="1:12" x14ac:dyDescent="0.25">
      <c r="A26" s="4">
        <v>21</v>
      </c>
      <c r="B26" s="10">
        <v>25030940</v>
      </c>
      <c r="C26" s="22" t="s">
        <v>143</v>
      </c>
      <c r="D26" s="11">
        <v>50</v>
      </c>
      <c r="E26" s="11">
        <v>23</v>
      </c>
      <c r="F26" s="12">
        <v>12</v>
      </c>
      <c r="G26" s="11">
        <v>7</v>
      </c>
      <c r="H26" s="12">
        <v>18</v>
      </c>
      <c r="I26" s="12">
        <v>14</v>
      </c>
      <c r="J26" s="12">
        <v>10</v>
      </c>
      <c r="K26" s="34">
        <f t="shared" si="0"/>
        <v>61</v>
      </c>
      <c r="L26" s="21" t="s">
        <v>111</v>
      </c>
    </row>
    <row r="27" spans="1:12" x14ac:dyDescent="0.25">
      <c r="A27" s="4">
        <v>22</v>
      </c>
      <c r="B27" s="10">
        <v>25030941</v>
      </c>
      <c r="C27" s="22" t="s">
        <v>144</v>
      </c>
      <c r="D27" s="11">
        <v>50</v>
      </c>
      <c r="E27" s="11">
        <v>23</v>
      </c>
      <c r="F27" s="12">
        <v>24</v>
      </c>
      <c r="G27" s="11">
        <v>5</v>
      </c>
      <c r="H27" s="12">
        <v>29</v>
      </c>
      <c r="I27" s="12">
        <v>29</v>
      </c>
      <c r="J27" s="12">
        <v>23</v>
      </c>
      <c r="K27" s="34">
        <f t="shared" si="0"/>
        <v>110</v>
      </c>
      <c r="L27" s="21" t="s">
        <v>111</v>
      </c>
    </row>
    <row r="28" spans="1:12" x14ac:dyDescent="0.25">
      <c r="A28" s="4">
        <v>23</v>
      </c>
      <c r="B28" s="10">
        <v>25030942</v>
      </c>
      <c r="C28" s="22" t="s">
        <v>145</v>
      </c>
      <c r="D28" s="11">
        <v>50</v>
      </c>
      <c r="E28" s="11">
        <v>23</v>
      </c>
      <c r="F28" s="12">
        <v>28</v>
      </c>
      <c r="G28" s="11">
        <v>26</v>
      </c>
      <c r="H28" s="12">
        <v>30</v>
      </c>
      <c r="I28" s="12">
        <v>31</v>
      </c>
      <c r="J28" s="12">
        <v>31</v>
      </c>
      <c r="K28" s="34">
        <f t="shared" si="0"/>
        <v>146</v>
      </c>
      <c r="L28" s="13" t="s">
        <v>114</v>
      </c>
    </row>
    <row r="29" spans="1:12" x14ac:dyDescent="0.25">
      <c r="A29" s="4">
        <v>24</v>
      </c>
      <c r="B29" s="10">
        <v>25030943</v>
      </c>
      <c r="C29" s="22" t="s">
        <v>146</v>
      </c>
      <c r="D29" s="11">
        <v>50</v>
      </c>
      <c r="E29" s="11">
        <v>23</v>
      </c>
      <c r="F29" s="12">
        <v>34</v>
      </c>
      <c r="G29" s="11">
        <v>45</v>
      </c>
      <c r="H29" s="12">
        <v>32</v>
      </c>
      <c r="I29" s="12">
        <v>37</v>
      </c>
      <c r="J29" s="12">
        <v>46</v>
      </c>
      <c r="K29" s="34">
        <f t="shared" si="0"/>
        <v>194</v>
      </c>
      <c r="L29" s="13" t="s">
        <v>114</v>
      </c>
    </row>
    <row r="30" spans="1:12" x14ac:dyDescent="0.25">
      <c r="A30" s="4">
        <v>25</v>
      </c>
      <c r="B30" s="10">
        <v>25030944</v>
      </c>
      <c r="C30" s="22" t="s">
        <v>147</v>
      </c>
      <c r="D30" s="11">
        <v>50</v>
      </c>
      <c r="E30" s="11">
        <v>23</v>
      </c>
      <c r="F30" s="12">
        <v>32</v>
      </c>
      <c r="G30" s="11">
        <v>33</v>
      </c>
      <c r="H30" s="12">
        <v>22</v>
      </c>
      <c r="I30" s="12">
        <v>41</v>
      </c>
      <c r="J30" s="12">
        <v>41</v>
      </c>
      <c r="K30" s="34">
        <f t="shared" si="0"/>
        <v>169</v>
      </c>
      <c r="L30" s="21" t="s">
        <v>111</v>
      </c>
    </row>
    <row r="31" spans="1:12" x14ac:dyDescent="0.25">
      <c r="A31" s="4">
        <v>26</v>
      </c>
      <c r="B31" s="10">
        <v>25030945</v>
      </c>
      <c r="C31" s="22" t="s">
        <v>148</v>
      </c>
      <c r="D31" s="11">
        <v>50</v>
      </c>
      <c r="E31" s="11">
        <v>23</v>
      </c>
      <c r="F31" s="12">
        <v>18</v>
      </c>
      <c r="G31" s="11">
        <v>5</v>
      </c>
      <c r="H31" s="12">
        <v>16</v>
      </c>
      <c r="I31" s="12">
        <v>25</v>
      </c>
      <c r="J31" s="12">
        <v>25</v>
      </c>
      <c r="K31" s="34">
        <f t="shared" si="0"/>
        <v>89</v>
      </c>
      <c r="L31" s="21" t="s">
        <v>111</v>
      </c>
    </row>
    <row r="32" spans="1:12" x14ac:dyDescent="0.25">
      <c r="A32" s="4">
        <v>27</v>
      </c>
      <c r="B32" s="10">
        <v>25030946</v>
      </c>
      <c r="C32" s="22" t="s">
        <v>149</v>
      </c>
      <c r="D32" s="11" t="s">
        <v>190</v>
      </c>
      <c r="E32" s="11">
        <v>23</v>
      </c>
      <c r="F32" s="12">
        <v>18</v>
      </c>
      <c r="G32" s="11" t="s">
        <v>191</v>
      </c>
      <c r="H32" s="12">
        <v>20</v>
      </c>
      <c r="I32" s="12">
        <v>13</v>
      </c>
      <c r="J32" s="12" t="s">
        <v>189</v>
      </c>
      <c r="K32" s="34" t="e">
        <f t="shared" si="0"/>
        <v>#VALUE!</v>
      </c>
      <c r="L32" s="21" t="s">
        <v>111</v>
      </c>
    </row>
    <row r="33" spans="1:12" x14ac:dyDescent="0.25">
      <c r="A33" s="4">
        <v>28</v>
      </c>
      <c r="B33" s="10">
        <v>25030947</v>
      </c>
      <c r="C33" s="22" t="s">
        <v>150</v>
      </c>
      <c r="D33" s="11">
        <v>50</v>
      </c>
      <c r="E33" s="11">
        <v>23</v>
      </c>
      <c r="F33" s="12">
        <v>30</v>
      </c>
      <c r="G33" s="11">
        <v>28</v>
      </c>
      <c r="H33" s="12">
        <v>32</v>
      </c>
      <c r="I33" s="12">
        <v>34</v>
      </c>
      <c r="J33" s="12">
        <v>40</v>
      </c>
      <c r="K33" s="34">
        <f t="shared" si="0"/>
        <v>164</v>
      </c>
      <c r="L33" s="13" t="s">
        <v>114</v>
      </c>
    </row>
    <row r="34" spans="1:12" x14ac:dyDescent="0.25">
      <c r="A34" s="4">
        <v>29</v>
      </c>
      <c r="B34" s="10">
        <v>25030948</v>
      </c>
      <c r="C34" s="22" t="s">
        <v>151</v>
      </c>
      <c r="D34" s="11">
        <v>50</v>
      </c>
      <c r="E34" s="11">
        <v>23</v>
      </c>
      <c r="F34" s="12">
        <v>26</v>
      </c>
      <c r="G34" s="11">
        <v>10</v>
      </c>
      <c r="H34" s="12">
        <v>28</v>
      </c>
      <c r="I34" s="12">
        <v>34</v>
      </c>
      <c r="J34" s="12">
        <v>35</v>
      </c>
      <c r="K34" s="34">
        <f t="shared" si="0"/>
        <v>133</v>
      </c>
      <c r="L34" s="21" t="s">
        <v>111</v>
      </c>
    </row>
    <row r="35" spans="1:12" x14ac:dyDescent="0.25">
      <c r="A35" s="4">
        <v>30</v>
      </c>
      <c r="B35" s="10">
        <v>25030949</v>
      </c>
      <c r="C35" s="22" t="s">
        <v>152</v>
      </c>
      <c r="D35" s="11">
        <v>50</v>
      </c>
      <c r="E35" s="11">
        <v>23</v>
      </c>
      <c r="F35" s="12">
        <v>25</v>
      </c>
      <c r="G35" s="11">
        <v>10</v>
      </c>
      <c r="H35" s="12">
        <v>32</v>
      </c>
      <c r="I35" s="12">
        <v>32</v>
      </c>
      <c r="J35" s="12">
        <v>40</v>
      </c>
      <c r="K35" s="34">
        <f t="shared" si="0"/>
        <v>139</v>
      </c>
      <c r="L35" s="21" t="s">
        <v>111</v>
      </c>
    </row>
    <row r="36" spans="1:12" x14ac:dyDescent="0.25">
      <c r="A36" s="4">
        <v>31</v>
      </c>
      <c r="B36" s="10">
        <v>25030950</v>
      </c>
      <c r="C36" s="22" t="s">
        <v>153</v>
      </c>
      <c r="D36" s="11">
        <v>50</v>
      </c>
      <c r="E36" s="11">
        <v>23</v>
      </c>
      <c r="F36" s="12" t="s">
        <v>191</v>
      </c>
      <c r="G36" s="11" t="s">
        <v>191</v>
      </c>
      <c r="H36" s="12" t="s">
        <v>191</v>
      </c>
      <c r="I36" s="12" t="s">
        <v>189</v>
      </c>
      <c r="J36" s="12" t="s">
        <v>191</v>
      </c>
      <c r="K36" s="34" t="e">
        <f t="shared" si="0"/>
        <v>#VALUE!</v>
      </c>
      <c r="L36" s="21" t="s">
        <v>111</v>
      </c>
    </row>
    <row r="37" spans="1:12" x14ac:dyDescent="0.25">
      <c r="A37" s="4">
        <v>32</v>
      </c>
      <c r="B37" s="10">
        <v>25030951</v>
      </c>
      <c r="C37" s="22" t="s">
        <v>154</v>
      </c>
      <c r="D37" s="11">
        <v>50</v>
      </c>
      <c r="E37" s="11">
        <v>23</v>
      </c>
      <c r="F37" s="12">
        <v>24</v>
      </c>
      <c r="G37" s="11">
        <v>6</v>
      </c>
      <c r="H37" s="12">
        <v>30</v>
      </c>
      <c r="I37" s="12">
        <v>33</v>
      </c>
      <c r="J37" s="12">
        <v>34</v>
      </c>
      <c r="K37" s="34">
        <f t="shared" si="0"/>
        <v>127</v>
      </c>
      <c r="L37" s="21" t="s">
        <v>111</v>
      </c>
    </row>
    <row r="38" spans="1:12" x14ac:dyDescent="0.25">
      <c r="A38" s="4">
        <v>33</v>
      </c>
      <c r="B38" s="10">
        <v>25030952</v>
      </c>
      <c r="C38" s="22" t="s">
        <v>155</v>
      </c>
      <c r="D38" s="11">
        <v>50</v>
      </c>
      <c r="E38" s="11">
        <v>23</v>
      </c>
      <c r="F38" s="12">
        <v>27</v>
      </c>
      <c r="G38" s="11">
        <v>17</v>
      </c>
      <c r="H38" s="16">
        <v>28</v>
      </c>
      <c r="I38" s="12">
        <v>27</v>
      </c>
      <c r="J38" s="12">
        <v>33</v>
      </c>
      <c r="K38" s="34">
        <f t="shared" si="0"/>
        <v>132</v>
      </c>
      <c r="L38" s="21" t="s">
        <v>111</v>
      </c>
    </row>
    <row r="39" spans="1:12" x14ac:dyDescent="0.25">
      <c r="A39" s="4">
        <v>34</v>
      </c>
      <c r="B39" s="10">
        <v>25030953</v>
      </c>
      <c r="C39" s="22" t="s">
        <v>156</v>
      </c>
      <c r="D39" s="11">
        <v>50</v>
      </c>
      <c r="E39" s="11">
        <v>23</v>
      </c>
      <c r="F39" s="12">
        <v>5</v>
      </c>
      <c r="G39" s="11">
        <v>1</v>
      </c>
      <c r="H39" s="16">
        <v>4</v>
      </c>
      <c r="I39" s="12">
        <v>5</v>
      </c>
      <c r="J39" s="12">
        <v>4</v>
      </c>
      <c r="K39" s="34">
        <f t="shared" si="0"/>
        <v>19</v>
      </c>
      <c r="L39" s="21" t="s">
        <v>111</v>
      </c>
    </row>
    <row r="40" spans="1:12" x14ac:dyDescent="0.25">
      <c r="A40" s="4">
        <v>35</v>
      </c>
      <c r="B40" s="10">
        <v>25030954</v>
      </c>
      <c r="C40" s="22" t="s">
        <v>157</v>
      </c>
      <c r="D40" s="11">
        <v>50</v>
      </c>
      <c r="E40" s="11">
        <v>23</v>
      </c>
      <c r="F40" s="12">
        <v>26</v>
      </c>
      <c r="G40" s="11">
        <v>1</v>
      </c>
      <c r="H40" s="16">
        <v>22</v>
      </c>
      <c r="I40" s="12">
        <v>37</v>
      </c>
      <c r="J40" s="12">
        <v>30</v>
      </c>
      <c r="K40" s="34">
        <f t="shared" si="0"/>
        <v>116</v>
      </c>
      <c r="L40" s="21" t="s">
        <v>111</v>
      </c>
    </row>
    <row r="41" spans="1:12" x14ac:dyDescent="0.25">
      <c r="A41" s="4">
        <v>36</v>
      </c>
      <c r="B41" s="10">
        <v>25030955</v>
      </c>
      <c r="C41" s="22" t="s">
        <v>158</v>
      </c>
      <c r="D41" s="11">
        <v>50</v>
      </c>
      <c r="E41" s="11">
        <v>23</v>
      </c>
      <c r="F41" s="12">
        <v>24</v>
      </c>
      <c r="G41" s="11">
        <v>1</v>
      </c>
      <c r="H41" s="16">
        <v>22</v>
      </c>
      <c r="I41" s="12">
        <v>25</v>
      </c>
      <c r="J41" s="12">
        <v>7</v>
      </c>
      <c r="K41" s="34">
        <f t="shared" si="0"/>
        <v>79</v>
      </c>
      <c r="L41" s="21" t="s">
        <v>111</v>
      </c>
    </row>
    <row r="42" spans="1:12" x14ac:dyDescent="0.25">
      <c r="A42" s="4">
        <v>37</v>
      </c>
      <c r="B42" s="10">
        <v>25030956</v>
      </c>
      <c r="C42" s="22" t="s">
        <v>159</v>
      </c>
      <c r="D42" s="11">
        <v>50</v>
      </c>
      <c r="E42" s="11">
        <v>23</v>
      </c>
      <c r="F42" s="11">
        <v>35</v>
      </c>
      <c r="G42" s="11">
        <v>16</v>
      </c>
      <c r="H42" s="16">
        <v>25</v>
      </c>
      <c r="I42" s="11">
        <v>36</v>
      </c>
      <c r="J42" s="11">
        <v>37</v>
      </c>
      <c r="K42" s="34">
        <f t="shared" si="0"/>
        <v>149</v>
      </c>
      <c r="L42" s="21" t="s">
        <v>111</v>
      </c>
    </row>
    <row r="43" spans="1:12" x14ac:dyDescent="0.25">
      <c r="A43" s="4">
        <v>38</v>
      </c>
      <c r="B43" s="10">
        <v>25030957</v>
      </c>
      <c r="C43" s="22" t="s">
        <v>160</v>
      </c>
      <c r="D43" s="11">
        <v>50</v>
      </c>
      <c r="E43" s="11">
        <v>23</v>
      </c>
      <c r="F43" s="11">
        <v>20</v>
      </c>
      <c r="G43" s="11">
        <v>1</v>
      </c>
      <c r="H43" s="17">
        <v>10</v>
      </c>
      <c r="I43" s="11">
        <v>5</v>
      </c>
      <c r="J43" s="11">
        <v>22</v>
      </c>
      <c r="K43" s="34">
        <f t="shared" si="0"/>
        <v>58</v>
      </c>
      <c r="L43" s="21" t="s">
        <v>111</v>
      </c>
    </row>
    <row r="44" spans="1:12" x14ac:dyDescent="0.25">
      <c r="A44" s="4">
        <v>39</v>
      </c>
      <c r="B44" s="10">
        <v>25030958</v>
      </c>
      <c r="C44" s="22" t="s">
        <v>161</v>
      </c>
      <c r="D44" s="11">
        <v>50</v>
      </c>
      <c r="E44" s="11">
        <v>23</v>
      </c>
      <c r="F44" s="11">
        <v>6</v>
      </c>
      <c r="G44" s="11">
        <v>1</v>
      </c>
      <c r="H44" s="17">
        <v>25</v>
      </c>
      <c r="I44" s="11">
        <v>3</v>
      </c>
      <c r="J44" s="11">
        <v>8</v>
      </c>
      <c r="K44" s="34">
        <f t="shared" si="0"/>
        <v>43</v>
      </c>
      <c r="L44" s="21" t="s">
        <v>111</v>
      </c>
    </row>
    <row r="45" spans="1:12" x14ac:dyDescent="0.25">
      <c r="A45" s="4">
        <v>40</v>
      </c>
      <c r="B45" s="10">
        <v>25030959</v>
      </c>
      <c r="C45" s="22" t="s">
        <v>162</v>
      </c>
      <c r="D45" s="11">
        <v>50</v>
      </c>
      <c r="E45" s="11">
        <v>23</v>
      </c>
      <c r="F45" s="11">
        <v>9</v>
      </c>
      <c r="G45" s="11">
        <v>1</v>
      </c>
      <c r="H45" s="17">
        <v>30</v>
      </c>
      <c r="I45" s="11">
        <v>11</v>
      </c>
      <c r="J45" s="11">
        <v>12</v>
      </c>
      <c r="K45" s="34">
        <f t="shared" si="0"/>
        <v>63</v>
      </c>
      <c r="L45" s="21" t="s">
        <v>111</v>
      </c>
    </row>
    <row r="46" spans="1:12" x14ac:dyDescent="0.25">
      <c r="A46" s="4">
        <v>41</v>
      </c>
      <c r="B46" s="10">
        <v>25030960</v>
      </c>
      <c r="C46" s="22" t="s">
        <v>163</v>
      </c>
      <c r="D46" s="11">
        <v>50</v>
      </c>
      <c r="E46" s="11">
        <v>23</v>
      </c>
      <c r="F46" s="11">
        <v>15</v>
      </c>
      <c r="G46" s="11">
        <v>1</v>
      </c>
      <c r="H46" s="17">
        <v>10</v>
      </c>
      <c r="I46" s="11">
        <v>12</v>
      </c>
      <c r="J46" s="11">
        <v>8</v>
      </c>
      <c r="K46" s="34">
        <f t="shared" si="0"/>
        <v>46</v>
      </c>
      <c r="L46" s="21" t="s">
        <v>111</v>
      </c>
    </row>
    <row r="47" spans="1:12" x14ac:dyDescent="0.25">
      <c r="A47" s="4">
        <v>42</v>
      </c>
      <c r="B47" s="10">
        <v>25030961</v>
      </c>
      <c r="C47" s="22" t="s">
        <v>164</v>
      </c>
      <c r="D47" s="11">
        <v>50</v>
      </c>
      <c r="E47" s="11">
        <v>23</v>
      </c>
      <c r="F47" s="4">
        <v>18</v>
      </c>
      <c r="G47" s="4">
        <v>5</v>
      </c>
      <c r="H47" s="4">
        <v>22</v>
      </c>
      <c r="I47" s="4">
        <v>25</v>
      </c>
      <c r="J47" s="4">
        <v>31</v>
      </c>
      <c r="K47" s="34">
        <f t="shared" si="0"/>
        <v>101</v>
      </c>
      <c r="L47" s="21" t="s">
        <v>111</v>
      </c>
    </row>
    <row r="48" spans="1:12" x14ac:dyDescent="0.25">
      <c r="A48" s="4">
        <v>43</v>
      </c>
      <c r="B48" s="10">
        <v>25030962</v>
      </c>
      <c r="C48" s="22" t="s">
        <v>165</v>
      </c>
      <c r="D48" s="11">
        <v>50</v>
      </c>
      <c r="E48" s="11">
        <v>23</v>
      </c>
      <c r="F48" s="4">
        <v>24</v>
      </c>
      <c r="G48" s="4">
        <v>4</v>
      </c>
      <c r="H48" s="4">
        <v>20</v>
      </c>
      <c r="I48" s="4" t="s">
        <v>189</v>
      </c>
      <c r="J48" s="4">
        <v>28</v>
      </c>
      <c r="K48" s="34" t="e">
        <f t="shared" si="0"/>
        <v>#VALUE!</v>
      </c>
      <c r="L48" s="21" t="s">
        <v>111</v>
      </c>
    </row>
    <row r="49" spans="1:13" x14ac:dyDescent="0.25">
      <c r="A49" s="4">
        <v>44</v>
      </c>
      <c r="B49" s="10">
        <v>25030963</v>
      </c>
      <c r="C49" s="22" t="s">
        <v>166</v>
      </c>
      <c r="D49" s="11">
        <v>50</v>
      </c>
      <c r="E49" s="11">
        <v>23</v>
      </c>
      <c r="F49" s="4" t="s">
        <v>191</v>
      </c>
      <c r="G49" s="4">
        <v>5</v>
      </c>
      <c r="H49" s="4">
        <v>30</v>
      </c>
      <c r="I49" s="4">
        <v>17</v>
      </c>
      <c r="J49" s="4">
        <v>9</v>
      </c>
      <c r="K49" s="34" t="e">
        <f t="shared" si="0"/>
        <v>#VALUE!</v>
      </c>
      <c r="L49" s="21" t="s">
        <v>111</v>
      </c>
    </row>
    <row r="50" spans="1:13" x14ac:dyDescent="0.25">
      <c r="A50" s="4">
        <v>45</v>
      </c>
      <c r="B50" s="10">
        <v>25030964</v>
      </c>
      <c r="C50" s="6" t="s">
        <v>167</v>
      </c>
      <c r="D50" s="11">
        <v>50</v>
      </c>
      <c r="E50" s="11">
        <v>23</v>
      </c>
      <c r="F50" s="4" t="s">
        <v>191</v>
      </c>
      <c r="G50" s="4">
        <v>1</v>
      </c>
      <c r="H50" s="4">
        <v>10</v>
      </c>
      <c r="I50" s="4">
        <v>25</v>
      </c>
      <c r="J50" s="4">
        <v>8</v>
      </c>
      <c r="K50" s="34" t="e">
        <f t="shared" si="0"/>
        <v>#VALUE!</v>
      </c>
      <c r="L50" s="21" t="s">
        <v>111</v>
      </c>
    </row>
    <row r="51" spans="1:13" x14ac:dyDescent="0.25">
      <c r="A51" s="26">
        <v>46</v>
      </c>
      <c r="B51" s="10">
        <v>25030965</v>
      </c>
      <c r="C51" s="6" t="s">
        <v>168</v>
      </c>
      <c r="D51" s="25">
        <v>50</v>
      </c>
      <c r="E51" s="25">
        <v>23</v>
      </c>
      <c r="F51" s="26" t="s">
        <v>191</v>
      </c>
      <c r="G51" s="26" t="s">
        <v>191</v>
      </c>
      <c r="H51" s="26" t="s">
        <v>191</v>
      </c>
      <c r="I51" s="26" t="s">
        <v>189</v>
      </c>
      <c r="J51" s="26" t="s">
        <v>191</v>
      </c>
      <c r="K51" s="34" t="e">
        <f t="shared" si="0"/>
        <v>#VALUE!</v>
      </c>
      <c r="L51" s="21" t="s">
        <v>111</v>
      </c>
    </row>
    <row r="52" spans="1:13" x14ac:dyDescent="0.25">
      <c r="A52" s="5">
        <v>47</v>
      </c>
      <c r="B52" s="28">
        <v>25030966</v>
      </c>
      <c r="C52" s="6" t="s">
        <v>169</v>
      </c>
      <c r="D52" s="4">
        <v>50</v>
      </c>
      <c r="E52" s="4">
        <v>23</v>
      </c>
      <c r="F52" s="4">
        <v>23</v>
      </c>
      <c r="G52" s="4">
        <v>12</v>
      </c>
      <c r="H52" s="4">
        <v>22</v>
      </c>
      <c r="I52" s="4">
        <v>32</v>
      </c>
      <c r="J52" s="4">
        <v>23</v>
      </c>
      <c r="K52" s="34">
        <f t="shared" si="0"/>
        <v>112</v>
      </c>
      <c r="L52" s="21" t="s">
        <v>111</v>
      </c>
      <c r="M52" s="20"/>
    </row>
    <row r="53" spans="1:13" x14ac:dyDescent="0.25">
      <c r="C53" s="20"/>
      <c r="D53" s="29"/>
      <c r="E53" s="20"/>
      <c r="F53" s="20"/>
      <c r="G53" s="20"/>
      <c r="H53" s="20"/>
      <c r="I53" s="20"/>
      <c r="J53" s="20"/>
      <c r="K53" s="20"/>
      <c r="L53" s="20"/>
      <c r="M53" s="20"/>
    </row>
    <row r="54" spans="1:13" x14ac:dyDescent="0.25">
      <c r="C54" s="20"/>
      <c r="D54" s="29"/>
      <c r="E54" s="20"/>
      <c r="F54" s="20"/>
      <c r="G54" s="20"/>
      <c r="H54" s="20"/>
      <c r="I54" s="20"/>
      <c r="J54" s="20"/>
      <c r="K54" s="20"/>
      <c r="L54" s="20"/>
      <c r="M54" s="20"/>
    </row>
  </sheetData>
  <mergeCells count="4">
    <mergeCell ref="A1:L1"/>
    <mergeCell ref="A3:L3"/>
    <mergeCell ref="A4:L4"/>
    <mergeCell ref="A2:L2"/>
  </mergeCells>
  <pageMargins left="0.7" right="0.7" top="0.75" bottom="0.75" header="0.3" footer="0.3"/>
  <pageSetup scale="64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opLeftCell="A19" workbookViewId="0">
      <selection activeCell="A16" sqref="A1:A1048576"/>
    </sheetView>
  </sheetViews>
  <sheetFormatPr defaultRowHeight="15" x14ac:dyDescent="0.25"/>
  <sheetData/>
  <pageMargins left="0.7" right="0.7" top="0.75" bottom="0.75" header="0.3" footer="0.3"/>
  <pageSetup scale="78"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9"/>
  <sheetViews>
    <sheetView topLeftCell="A46" workbookViewId="0">
      <selection activeCell="F55" sqref="F55"/>
    </sheetView>
  </sheetViews>
  <sheetFormatPr defaultRowHeight="12.75" x14ac:dyDescent="0.2"/>
  <cols>
    <col min="1" max="1" width="5.140625" style="14" customWidth="1"/>
    <col min="2" max="2" width="10.7109375" style="14" customWidth="1"/>
    <col min="3" max="3" width="19.5703125" style="14" customWidth="1"/>
    <col min="4" max="4" width="7.85546875" style="14" customWidth="1"/>
    <col min="5" max="5" width="7" style="14" customWidth="1"/>
    <col min="6" max="6" width="19.5703125" style="14" customWidth="1"/>
    <col min="7" max="7" width="17.5703125" style="14" customWidth="1"/>
    <col min="8" max="8" width="18.42578125" style="14" customWidth="1"/>
    <col min="9" max="9" width="17.42578125" style="14" customWidth="1"/>
    <col min="10" max="10" width="16" style="14" customWidth="1"/>
    <col min="11" max="11" width="18.5703125" style="14" customWidth="1"/>
    <col min="12" max="12" width="10" style="14" customWidth="1"/>
    <col min="13" max="16384" width="9.140625" style="14"/>
  </cols>
  <sheetData>
    <row r="1" spans="1:14" ht="12" customHeight="1" x14ac:dyDescent="0.2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1:14" ht="12" customHeight="1" x14ac:dyDescent="0.2">
      <c r="A2" s="90" t="s">
        <v>117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3" spans="1:14" ht="12" customHeight="1" thickBot="1" x14ac:dyDescent="0.25">
      <c r="A3" s="91" t="s">
        <v>120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</row>
    <row r="4" spans="1:14" ht="31.5" customHeight="1" thickBot="1" x14ac:dyDescent="0.25">
      <c r="A4" s="57" t="s">
        <v>112</v>
      </c>
      <c r="B4" s="45" t="s">
        <v>113</v>
      </c>
      <c r="C4" s="45" t="s">
        <v>2</v>
      </c>
      <c r="D4" s="45" t="s">
        <v>3</v>
      </c>
      <c r="E4" s="45" t="s">
        <v>4</v>
      </c>
      <c r="F4" s="45" t="s">
        <v>175</v>
      </c>
      <c r="G4" s="45" t="s">
        <v>176</v>
      </c>
      <c r="H4" s="48" t="s">
        <v>177</v>
      </c>
      <c r="I4" s="45" t="s">
        <v>178</v>
      </c>
      <c r="J4" s="45" t="s">
        <v>179</v>
      </c>
      <c r="K4" s="48" t="s">
        <v>5</v>
      </c>
      <c r="L4" s="58" t="s">
        <v>6</v>
      </c>
      <c r="M4" s="19"/>
      <c r="N4" s="19"/>
    </row>
    <row r="5" spans="1:14" ht="12" customHeight="1" x14ac:dyDescent="0.2">
      <c r="A5" s="59">
        <v>1</v>
      </c>
      <c r="B5" s="60">
        <v>24032460</v>
      </c>
      <c r="C5" s="61" t="s">
        <v>7</v>
      </c>
      <c r="D5" s="59">
        <v>50</v>
      </c>
      <c r="E5" s="59">
        <v>23</v>
      </c>
      <c r="F5" s="62">
        <v>23</v>
      </c>
      <c r="G5" s="63">
        <v>15</v>
      </c>
      <c r="H5" s="62">
        <v>36</v>
      </c>
      <c r="I5" s="62">
        <v>37</v>
      </c>
      <c r="J5" s="62">
        <v>23</v>
      </c>
      <c r="K5" s="62">
        <f>SUM(F5+G5+H5+I5+J5)</f>
        <v>134</v>
      </c>
      <c r="L5" s="68" t="s">
        <v>111</v>
      </c>
    </row>
    <row r="6" spans="1:14" ht="12" customHeight="1" x14ac:dyDescent="0.2">
      <c r="A6" s="64">
        <v>2</v>
      </c>
      <c r="B6" s="56">
        <v>24032461</v>
      </c>
      <c r="C6" s="65" t="s">
        <v>8</v>
      </c>
      <c r="D6" s="64">
        <v>50</v>
      </c>
      <c r="E6" s="64">
        <v>23</v>
      </c>
      <c r="F6" s="66">
        <v>23</v>
      </c>
      <c r="G6" s="67">
        <v>10</v>
      </c>
      <c r="H6" s="66">
        <v>30</v>
      </c>
      <c r="I6" s="66">
        <v>32</v>
      </c>
      <c r="J6" s="66">
        <v>9</v>
      </c>
      <c r="K6" s="62">
        <f t="shared" ref="K6:K49" si="0">SUM(F6+G6+H6+I6+J6)</f>
        <v>104</v>
      </c>
      <c r="L6" s="68" t="s">
        <v>111</v>
      </c>
    </row>
    <row r="7" spans="1:14" ht="12" customHeight="1" x14ac:dyDescent="0.2">
      <c r="A7" s="64">
        <v>3</v>
      </c>
      <c r="B7" s="56">
        <v>24032462</v>
      </c>
      <c r="C7" s="65" t="s">
        <v>9</v>
      </c>
      <c r="D7" s="64">
        <v>50</v>
      </c>
      <c r="E7" s="64">
        <v>23</v>
      </c>
      <c r="F7" s="66">
        <v>35</v>
      </c>
      <c r="G7" s="67">
        <v>10</v>
      </c>
      <c r="H7" s="66" t="s">
        <v>189</v>
      </c>
      <c r="I7" s="66">
        <v>32</v>
      </c>
      <c r="J7" s="66">
        <v>26</v>
      </c>
      <c r="K7" s="62" t="e">
        <f t="shared" si="0"/>
        <v>#VALUE!</v>
      </c>
      <c r="L7" s="68" t="s">
        <v>111</v>
      </c>
    </row>
    <row r="8" spans="1:14" ht="12" customHeight="1" x14ac:dyDescent="0.2">
      <c r="A8" s="64">
        <v>4</v>
      </c>
      <c r="B8" s="56">
        <v>24032463</v>
      </c>
      <c r="C8" s="65" t="s">
        <v>10</v>
      </c>
      <c r="D8" s="64">
        <v>50</v>
      </c>
      <c r="E8" s="64">
        <v>23</v>
      </c>
      <c r="F8" s="66">
        <v>22</v>
      </c>
      <c r="G8" s="64">
        <v>7</v>
      </c>
      <c r="H8" s="66">
        <v>15</v>
      </c>
      <c r="I8" s="66">
        <v>23</v>
      </c>
      <c r="J8" s="66">
        <v>21</v>
      </c>
      <c r="K8" s="62">
        <f t="shared" si="0"/>
        <v>88</v>
      </c>
      <c r="L8" s="68" t="s">
        <v>111</v>
      </c>
    </row>
    <row r="9" spans="1:14" ht="12" customHeight="1" x14ac:dyDescent="0.2">
      <c r="A9" s="64">
        <v>5</v>
      </c>
      <c r="B9" s="56">
        <v>24032464</v>
      </c>
      <c r="C9" s="69" t="s">
        <v>11</v>
      </c>
      <c r="D9" s="64">
        <v>50</v>
      </c>
      <c r="E9" s="64">
        <v>23</v>
      </c>
      <c r="F9" s="66" t="s">
        <v>191</v>
      </c>
      <c r="G9" s="66" t="s">
        <v>191</v>
      </c>
      <c r="H9" s="66">
        <v>26</v>
      </c>
      <c r="I9" s="66" t="s">
        <v>191</v>
      </c>
      <c r="J9" s="66" t="s">
        <v>191</v>
      </c>
      <c r="K9" s="62" t="e">
        <f t="shared" si="0"/>
        <v>#VALUE!</v>
      </c>
      <c r="L9" s="68" t="s">
        <v>111</v>
      </c>
    </row>
    <row r="10" spans="1:14" ht="12" customHeight="1" x14ac:dyDescent="0.2">
      <c r="A10" s="64">
        <v>6</v>
      </c>
      <c r="B10" s="56">
        <v>24032465</v>
      </c>
      <c r="C10" s="65" t="s">
        <v>12</v>
      </c>
      <c r="D10" s="64">
        <v>50</v>
      </c>
      <c r="E10" s="64">
        <v>23</v>
      </c>
      <c r="F10" s="66" t="s">
        <v>191</v>
      </c>
      <c r="G10" s="66" t="s">
        <v>191</v>
      </c>
      <c r="H10" s="66" t="s">
        <v>191</v>
      </c>
      <c r="I10" s="66" t="s">
        <v>191</v>
      </c>
      <c r="J10" s="66" t="s">
        <v>191</v>
      </c>
      <c r="K10" s="62" t="e">
        <f t="shared" si="0"/>
        <v>#VALUE!</v>
      </c>
      <c r="L10" s="68" t="s">
        <v>111</v>
      </c>
    </row>
    <row r="11" spans="1:14" ht="12" customHeight="1" x14ac:dyDescent="0.2">
      <c r="A11" s="64">
        <v>7</v>
      </c>
      <c r="B11" s="56">
        <v>24032466</v>
      </c>
      <c r="C11" s="65" t="s">
        <v>13</v>
      </c>
      <c r="D11" s="64">
        <v>50</v>
      </c>
      <c r="E11" s="64">
        <v>23</v>
      </c>
      <c r="F11" s="66">
        <v>0</v>
      </c>
      <c r="G11" s="64">
        <v>2</v>
      </c>
      <c r="H11" s="66">
        <v>9</v>
      </c>
      <c r="I11" s="66">
        <v>14</v>
      </c>
      <c r="J11" s="66">
        <v>2</v>
      </c>
      <c r="K11" s="62">
        <f t="shared" si="0"/>
        <v>27</v>
      </c>
      <c r="L11" s="68" t="s">
        <v>111</v>
      </c>
    </row>
    <row r="12" spans="1:14" ht="12" customHeight="1" x14ac:dyDescent="0.2">
      <c r="A12" s="64">
        <v>8</v>
      </c>
      <c r="B12" s="56">
        <v>24032467</v>
      </c>
      <c r="C12" s="69" t="s">
        <v>14</v>
      </c>
      <c r="D12" s="64">
        <v>50</v>
      </c>
      <c r="E12" s="64">
        <v>23</v>
      </c>
      <c r="F12" s="66" t="s">
        <v>191</v>
      </c>
      <c r="G12" s="64" t="s">
        <v>191</v>
      </c>
      <c r="H12" s="66" t="s">
        <v>189</v>
      </c>
      <c r="I12" s="66" t="s">
        <v>191</v>
      </c>
      <c r="J12" s="66" t="s">
        <v>191</v>
      </c>
      <c r="K12" s="62" t="e">
        <f t="shared" si="0"/>
        <v>#VALUE!</v>
      </c>
      <c r="L12" s="68" t="s">
        <v>111</v>
      </c>
    </row>
    <row r="13" spans="1:14" ht="12" customHeight="1" x14ac:dyDescent="0.2">
      <c r="A13" s="64">
        <v>9</v>
      </c>
      <c r="B13" s="56">
        <v>24032468</v>
      </c>
      <c r="C13" s="71" t="s">
        <v>15</v>
      </c>
      <c r="D13" s="64">
        <v>50</v>
      </c>
      <c r="E13" s="64">
        <v>23</v>
      </c>
      <c r="F13" s="66">
        <v>41</v>
      </c>
      <c r="G13" s="64">
        <v>10</v>
      </c>
      <c r="H13" s="66">
        <v>34</v>
      </c>
      <c r="I13" s="66">
        <v>23</v>
      </c>
      <c r="J13" s="66">
        <v>35</v>
      </c>
      <c r="K13" s="62">
        <f t="shared" si="0"/>
        <v>143</v>
      </c>
      <c r="L13" s="68" t="s">
        <v>111</v>
      </c>
    </row>
    <row r="14" spans="1:14" ht="12" customHeight="1" x14ac:dyDescent="0.2">
      <c r="A14" s="64">
        <v>10</v>
      </c>
      <c r="B14" s="56">
        <v>24032469</v>
      </c>
      <c r="C14" s="65" t="s">
        <v>16</v>
      </c>
      <c r="D14" s="64">
        <v>50</v>
      </c>
      <c r="E14" s="64">
        <v>23</v>
      </c>
      <c r="F14" s="66">
        <v>22</v>
      </c>
      <c r="G14" s="64">
        <v>5</v>
      </c>
      <c r="H14" s="66">
        <v>25</v>
      </c>
      <c r="I14" s="66">
        <v>10</v>
      </c>
      <c r="J14" s="66">
        <v>15</v>
      </c>
      <c r="K14" s="62">
        <f t="shared" si="0"/>
        <v>77</v>
      </c>
      <c r="L14" s="68" t="s">
        <v>111</v>
      </c>
    </row>
    <row r="15" spans="1:14" ht="12" customHeight="1" x14ac:dyDescent="0.2">
      <c r="A15" s="64">
        <v>11</v>
      </c>
      <c r="B15" s="56">
        <v>24032470</v>
      </c>
      <c r="C15" s="65" t="s">
        <v>17</v>
      </c>
      <c r="D15" s="64">
        <v>50</v>
      </c>
      <c r="E15" s="64">
        <v>23</v>
      </c>
      <c r="F15" s="66">
        <v>16</v>
      </c>
      <c r="G15" s="64">
        <v>5</v>
      </c>
      <c r="H15" s="66">
        <v>25</v>
      </c>
      <c r="I15" s="66">
        <v>14</v>
      </c>
      <c r="J15" s="66">
        <v>15</v>
      </c>
      <c r="K15" s="62">
        <f t="shared" si="0"/>
        <v>75</v>
      </c>
      <c r="L15" s="68" t="s">
        <v>111</v>
      </c>
    </row>
    <row r="16" spans="1:14" ht="12" customHeight="1" x14ac:dyDescent="0.2">
      <c r="A16" s="64">
        <v>12</v>
      </c>
      <c r="B16" s="56">
        <v>24032471</v>
      </c>
      <c r="C16" s="65" t="s">
        <v>18</v>
      </c>
      <c r="D16" s="64">
        <v>50</v>
      </c>
      <c r="E16" s="64">
        <v>23</v>
      </c>
      <c r="F16" s="66">
        <v>23</v>
      </c>
      <c r="G16" s="64">
        <v>10</v>
      </c>
      <c r="H16" s="66">
        <v>30</v>
      </c>
      <c r="I16" s="66">
        <v>23</v>
      </c>
      <c r="J16" s="66">
        <v>13</v>
      </c>
      <c r="K16" s="62">
        <f t="shared" si="0"/>
        <v>99</v>
      </c>
      <c r="L16" s="68" t="s">
        <v>111</v>
      </c>
    </row>
    <row r="17" spans="1:12" ht="12" customHeight="1" x14ac:dyDescent="0.2">
      <c r="A17" s="64">
        <v>13</v>
      </c>
      <c r="B17" s="56">
        <v>24032472</v>
      </c>
      <c r="C17" s="65" t="s">
        <v>19</v>
      </c>
      <c r="D17" s="64">
        <v>50</v>
      </c>
      <c r="E17" s="64">
        <v>23</v>
      </c>
      <c r="F17" s="66">
        <v>28</v>
      </c>
      <c r="G17" s="64">
        <v>12</v>
      </c>
      <c r="H17" s="66">
        <v>35</v>
      </c>
      <c r="I17" s="66">
        <v>33</v>
      </c>
      <c r="J17" s="66">
        <v>23</v>
      </c>
      <c r="K17" s="62">
        <f t="shared" si="0"/>
        <v>131</v>
      </c>
      <c r="L17" s="68" t="s">
        <v>111</v>
      </c>
    </row>
    <row r="18" spans="1:12" ht="12" customHeight="1" x14ac:dyDescent="0.2">
      <c r="A18" s="64">
        <v>14</v>
      </c>
      <c r="B18" s="56">
        <v>24032473</v>
      </c>
      <c r="C18" s="65" t="s">
        <v>20</v>
      </c>
      <c r="D18" s="64">
        <v>50</v>
      </c>
      <c r="E18" s="64">
        <v>23</v>
      </c>
      <c r="F18" s="66">
        <v>7</v>
      </c>
      <c r="G18" s="64">
        <v>5</v>
      </c>
      <c r="H18" s="66">
        <v>10</v>
      </c>
      <c r="I18" s="66">
        <v>23</v>
      </c>
      <c r="J18" s="66">
        <v>22</v>
      </c>
      <c r="K18" s="62">
        <f t="shared" si="0"/>
        <v>67</v>
      </c>
      <c r="L18" s="68" t="s">
        <v>111</v>
      </c>
    </row>
    <row r="19" spans="1:12" ht="12" customHeight="1" x14ac:dyDescent="0.2">
      <c r="A19" s="64">
        <v>15</v>
      </c>
      <c r="B19" s="56">
        <v>24032474</v>
      </c>
      <c r="C19" s="65" t="s">
        <v>21</v>
      </c>
      <c r="D19" s="64">
        <v>50</v>
      </c>
      <c r="E19" s="64">
        <v>23</v>
      </c>
      <c r="F19" s="66" t="s">
        <v>191</v>
      </c>
      <c r="G19" s="64" t="s">
        <v>191</v>
      </c>
      <c r="H19" s="66">
        <v>30</v>
      </c>
      <c r="I19" s="66">
        <v>13</v>
      </c>
      <c r="J19" s="66">
        <v>20</v>
      </c>
      <c r="K19" s="62" t="e">
        <f t="shared" si="0"/>
        <v>#VALUE!</v>
      </c>
      <c r="L19" s="68" t="s">
        <v>111</v>
      </c>
    </row>
    <row r="20" spans="1:12" ht="12" customHeight="1" x14ac:dyDescent="0.2">
      <c r="A20" s="64">
        <v>16</v>
      </c>
      <c r="B20" s="56">
        <v>24032475</v>
      </c>
      <c r="C20" s="65" t="s">
        <v>22</v>
      </c>
      <c r="D20" s="64">
        <v>50</v>
      </c>
      <c r="E20" s="64">
        <v>23</v>
      </c>
      <c r="F20" s="66">
        <v>24</v>
      </c>
      <c r="G20" s="64">
        <v>5</v>
      </c>
      <c r="H20" s="66">
        <v>16</v>
      </c>
      <c r="I20" s="66">
        <v>13</v>
      </c>
      <c r="J20" s="66" t="s">
        <v>191</v>
      </c>
      <c r="K20" s="62" t="e">
        <f t="shared" si="0"/>
        <v>#VALUE!</v>
      </c>
      <c r="L20" s="68" t="s">
        <v>111</v>
      </c>
    </row>
    <row r="21" spans="1:12" ht="12" customHeight="1" x14ac:dyDescent="0.2">
      <c r="A21" s="64">
        <v>17</v>
      </c>
      <c r="B21" s="56">
        <v>24032476</v>
      </c>
      <c r="C21" s="65" t="s">
        <v>23</v>
      </c>
      <c r="D21" s="64">
        <v>50</v>
      </c>
      <c r="E21" s="64">
        <v>23</v>
      </c>
      <c r="F21" s="66">
        <v>5</v>
      </c>
      <c r="G21" s="64" t="s">
        <v>191</v>
      </c>
      <c r="H21" s="66" t="s">
        <v>189</v>
      </c>
      <c r="I21" s="66" t="s">
        <v>191</v>
      </c>
      <c r="J21" s="66" t="s">
        <v>191</v>
      </c>
      <c r="K21" s="62" t="e">
        <f t="shared" si="0"/>
        <v>#VALUE!</v>
      </c>
      <c r="L21" s="68" t="s">
        <v>111</v>
      </c>
    </row>
    <row r="22" spans="1:12" ht="12" customHeight="1" x14ac:dyDescent="0.2">
      <c r="A22" s="64">
        <v>18</v>
      </c>
      <c r="B22" s="56">
        <v>24032477</v>
      </c>
      <c r="C22" s="65" t="s">
        <v>24</v>
      </c>
      <c r="D22" s="64">
        <v>50</v>
      </c>
      <c r="E22" s="64">
        <v>23</v>
      </c>
      <c r="F22" s="66">
        <v>29</v>
      </c>
      <c r="G22" s="64">
        <v>20</v>
      </c>
      <c r="H22" s="66">
        <v>36</v>
      </c>
      <c r="I22" s="66">
        <v>37</v>
      </c>
      <c r="J22" s="66">
        <v>42</v>
      </c>
      <c r="K22" s="62">
        <f t="shared" si="0"/>
        <v>164</v>
      </c>
      <c r="L22" s="68" t="s">
        <v>111</v>
      </c>
    </row>
    <row r="23" spans="1:12" ht="12" customHeight="1" x14ac:dyDescent="0.2">
      <c r="A23" s="64">
        <v>19</v>
      </c>
      <c r="B23" s="56">
        <v>24032478</v>
      </c>
      <c r="C23" s="65" t="s">
        <v>25</v>
      </c>
      <c r="D23" s="64">
        <v>50</v>
      </c>
      <c r="E23" s="64">
        <v>23</v>
      </c>
      <c r="F23" s="66">
        <v>41</v>
      </c>
      <c r="G23" s="64">
        <v>20</v>
      </c>
      <c r="H23" s="66">
        <v>37</v>
      </c>
      <c r="I23" s="66">
        <v>28</v>
      </c>
      <c r="J23" s="66">
        <v>37</v>
      </c>
      <c r="K23" s="62">
        <f t="shared" si="0"/>
        <v>163</v>
      </c>
      <c r="L23" s="68" t="s">
        <v>111</v>
      </c>
    </row>
    <row r="24" spans="1:12" ht="12" customHeight="1" x14ac:dyDescent="0.2">
      <c r="A24" s="64">
        <v>20</v>
      </c>
      <c r="B24" s="56">
        <v>24032479</v>
      </c>
      <c r="C24" s="65" t="s">
        <v>26</v>
      </c>
      <c r="D24" s="64">
        <v>50</v>
      </c>
      <c r="E24" s="64">
        <v>23</v>
      </c>
      <c r="F24" s="66" t="s">
        <v>191</v>
      </c>
      <c r="G24" s="64">
        <v>2</v>
      </c>
      <c r="H24" s="66">
        <v>1</v>
      </c>
      <c r="I24" s="66">
        <v>1</v>
      </c>
      <c r="J24" s="66">
        <v>3</v>
      </c>
      <c r="K24" s="62" t="e">
        <f t="shared" si="0"/>
        <v>#VALUE!</v>
      </c>
      <c r="L24" s="68" t="s">
        <v>111</v>
      </c>
    </row>
    <row r="25" spans="1:12" ht="12" customHeight="1" x14ac:dyDescent="0.2">
      <c r="A25" s="64">
        <v>21</v>
      </c>
      <c r="B25" s="56">
        <v>24032480</v>
      </c>
      <c r="C25" s="65" t="s">
        <v>27</v>
      </c>
      <c r="D25" s="64">
        <v>50</v>
      </c>
      <c r="E25" s="64">
        <v>23</v>
      </c>
      <c r="F25" s="66">
        <v>2</v>
      </c>
      <c r="G25" s="64">
        <v>5</v>
      </c>
      <c r="H25" s="66">
        <v>12</v>
      </c>
      <c r="I25" s="66">
        <v>4</v>
      </c>
      <c r="J25" s="66">
        <v>5</v>
      </c>
      <c r="K25" s="62">
        <f t="shared" si="0"/>
        <v>28</v>
      </c>
      <c r="L25" s="68" t="s">
        <v>111</v>
      </c>
    </row>
    <row r="26" spans="1:12" ht="12" customHeight="1" x14ac:dyDescent="0.2">
      <c r="A26" s="64">
        <v>22</v>
      </c>
      <c r="B26" s="56">
        <v>24032481</v>
      </c>
      <c r="C26" s="65" t="s">
        <v>28</v>
      </c>
      <c r="D26" s="64">
        <v>50</v>
      </c>
      <c r="E26" s="64">
        <v>23</v>
      </c>
      <c r="F26" s="66">
        <v>7</v>
      </c>
      <c r="G26" s="64">
        <v>5</v>
      </c>
      <c r="H26" s="66">
        <v>26</v>
      </c>
      <c r="I26" s="66">
        <v>27</v>
      </c>
      <c r="J26" s="66">
        <v>4</v>
      </c>
      <c r="K26" s="62">
        <f t="shared" si="0"/>
        <v>69</v>
      </c>
      <c r="L26" s="68" t="s">
        <v>111</v>
      </c>
    </row>
    <row r="27" spans="1:12" ht="12" customHeight="1" x14ac:dyDescent="0.2">
      <c r="A27" s="64">
        <v>23</v>
      </c>
      <c r="B27" s="56">
        <v>24032482</v>
      </c>
      <c r="C27" s="65" t="s">
        <v>29</v>
      </c>
      <c r="D27" s="64">
        <v>50</v>
      </c>
      <c r="E27" s="64">
        <v>23</v>
      </c>
      <c r="F27" s="66">
        <v>20</v>
      </c>
      <c r="G27" s="64">
        <v>15</v>
      </c>
      <c r="H27" s="66">
        <v>37</v>
      </c>
      <c r="I27" s="66">
        <v>34</v>
      </c>
      <c r="J27" s="66">
        <v>38</v>
      </c>
      <c r="K27" s="62">
        <f t="shared" si="0"/>
        <v>144</v>
      </c>
      <c r="L27" s="68" t="s">
        <v>111</v>
      </c>
    </row>
    <row r="28" spans="1:12" ht="12" customHeight="1" x14ac:dyDescent="0.2">
      <c r="A28" s="64">
        <v>24</v>
      </c>
      <c r="B28" s="56">
        <v>24032483</v>
      </c>
      <c r="C28" s="65" t="s">
        <v>30</v>
      </c>
      <c r="D28" s="64">
        <v>50</v>
      </c>
      <c r="E28" s="64">
        <v>23</v>
      </c>
      <c r="F28" s="66">
        <v>31</v>
      </c>
      <c r="G28" s="64">
        <v>7</v>
      </c>
      <c r="H28" s="66">
        <v>29</v>
      </c>
      <c r="I28" s="66">
        <v>33</v>
      </c>
      <c r="J28" s="66">
        <v>29</v>
      </c>
      <c r="K28" s="62">
        <f t="shared" si="0"/>
        <v>129</v>
      </c>
      <c r="L28" s="68" t="s">
        <v>111</v>
      </c>
    </row>
    <row r="29" spans="1:12" ht="12" customHeight="1" x14ac:dyDescent="0.2">
      <c r="A29" s="64">
        <v>25</v>
      </c>
      <c r="B29" s="56">
        <v>24032484</v>
      </c>
      <c r="C29" s="65" t="s">
        <v>31</v>
      </c>
      <c r="D29" s="64">
        <v>50</v>
      </c>
      <c r="E29" s="64">
        <v>23</v>
      </c>
      <c r="F29" s="66">
        <v>5</v>
      </c>
      <c r="G29" s="64">
        <v>5</v>
      </c>
      <c r="H29" s="66">
        <v>10</v>
      </c>
      <c r="I29" s="66">
        <v>8</v>
      </c>
      <c r="J29" s="66">
        <v>3</v>
      </c>
      <c r="K29" s="62">
        <f t="shared" si="0"/>
        <v>31</v>
      </c>
      <c r="L29" s="68" t="s">
        <v>111</v>
      </c>
    </row>
    <row r="30" spans="1:12" ht="12" customHeight="1" x14ac:dyDescent="0.2">
      <c r="A30" s="64">
        <v>26</v>
      </c>
      <c r="B30" s="56">
        <v>24032485</v>
      </c>
      <c r="C30" s="65" t="s">
        <v>32</v>
      </c>
      <c r="D30" s="64">
        <v>50</v>
      </c>
      <c r="E30" s="64">
        <v>23</v>
      </c>
      <c r="F30" s="66">
        <v>12</v>
      </c>
      <c r="G30" s="64">
        <v>5</v>
      </c>
      <c r="H30" s="66">
        <v>7</v>
      </c>
      <c r="I30" s="66">
        <v>5</v>
      </c>
      <c r="J30" s="66">
        <v>4</v>
      </c>
      <c r="K30" s="62">
        <f t="shared" si="0"/>
        <v>33</v>
      </c>
      <c r="L30" s="68" t="s">
        <v>111</v>
      </c>
    </row>
    <row r="31" spans="1:12" ht="12" customHeight="1" x14ac:dyDescent="0.2">
      <c r="A31" s="64">
        <v>27</v>
      </c>
      <c r="B31" s="56">
        <v>24032486</v>
      </c>
      <c r="C31" s="65" t="s">
        <v>33</v>
      </c>
      <c r="D31" s="64">
        <v>50</v>
      </c>
      <c r="E31" s="64">
        <v>23</v>
      </c>
      <c r="F31" s="66">
        <v>33</v>
      </c>
      <c r="G31" s="64">
        <v>30</v>
      </c>
      <c r="H31" s="66">
        <v>38</v>
      </c>
      <c r="I31" s="66">
        <v>40</v>
      </c>
      <c r="J31" s="66">
        <v>40</v>
      </c>
      <c r="K31" s="62">
        <f t="shared" si="0"/>
        <v>181</v>
      </c>
      <c r="L31" s="72" t="s">
        <v>114</v>
      </c>
    </row>
    <row r="32" spans="1:12" ht="12" customHeight="1" x14ac:dyDescent="0.2">
      <c r="A32" s="64">
        <v>28</v>
      </c>
      <c r="B32" s="56">
        <v>24032487</v>
      </c>
      <c r="C32" s="65" t="s">
        <v>34</v>
      </c>
      <c r="D32" s="64">
        <v>50</v>
      </c>
      <c r="E32" s="64">
        <v>23</v>
      </c>
      <c r="F32" s="66">
        <v>26</v>
      </c>
      <c r="G32" s="64">
        <v>18</v>
      </c>
      <c r="H32" s="66">
        <v>35</v>
      </c>
      <c r="I32" s="66">
        <v>26</v>
      </c>
      <c r="J32" s="66">
        <v>29</v>
      </c>
      <c r="K32" s="62">
        <f t="shared" si="0"/>
        <v>134</v>
      </c>
      <c r="L32" s="68" t="s">
        <v>111</v>
      </c>
    </row>
    <row r="33" spans="1:12" ht="12" customHeight="1" x14ac:dyDescent="0.2">
      <c r="A33" s="64">
        <v>29</v>
      </c>
      <c r="B33" s="56">
        <v>24032488</v>
      </c>
      <c r="C33" s="65" t="s">
        <v>35</v>
      </c>
      <c r="D33" s="64">
        <v>50</v>
      </c>
      <c r="E33" s="64">
        <v>23</v>
      </c>
      <c r="F33" s="66">
        <v>19</v>
      </c>
      <c r="G33" s="64">
        <v>5</v>
      </c>
      <c r="H33" s="66">
        <v>35</v>
      </c>
      <c r="I33" s="66">
        <v>30</v>
      </c>
      <c r="J33" s="66">
        <v>30</v>
      </c>
      <c r="K33" s="62">
        <f t="shared" si="0"/>
        <v>119</v>
      </c>
      <c r="L33" s="68" t="s">
        <v>111</v>
      </c>
    </row>
    <row r="34" spans="1:12" ht="12" customHeight="1" x14ac:dyDescent="0.2">
      <c r="A34" s="64">
        <v>30</v>
      </c>
      <c r="B34" s="56">
        <v>24032489</v>
      </c>
      <c r="C34" s="65" t="s">
        <v>36</v>
      </c>
      <c r="D34" s="64">
        <v>50</v>
      </c>
      <c r="E34" s="64">
        <v>23</v>
      </c>
      <c r="F34" s="66">
        <v>16</v>
      </c>
      <c r="G34" s="64">
        <v>3</v>
      </c>
      <c r="H34" s="66">
        <v>10</v>
      </c>
      <c r="I34" s="66">
        <v>18</v>
      </c>
      <c r="J34" s="66">
        <v>22</v>
      </c>
      <c r="K34" s="62">
        <f t="shared" si="0"/>
        <v>69</v>
      </c>
      <c r="L34" s="68" t="s">
        <v>111</v>
      </c>
    </row>
    <row r="35" spans="1:12" ht="12" customHeight="1" x14ac:dyDescent="0.2">
      <c r="A35" s="64">
        <v>31</v>
      </c>
      <c r="B35" s="56">
        <v>24032490</v>
      </c>
      <c r="C35" s="65" t="s">
        <v>37</v>
      </c>
      <c r="D35" s="64">
        <v>50</v>
      </c>
      <c r="E35" s="64">
        <v>23</v>
      </c>
      <c r="F35" s="66">
        <v>5</v>
      </c>
      <c r="G35" s="64">
        <v>5</v>
      </c>
      <c r="H35" s="66">
        <v>8</v>
      </c>
      <c r="I35" s="66">
        <v>7</v>
      </c>
      <c r="J35" s="66">
        <v>9</v>
      </c>
      <c r="K35" s="62">
        <f t="shared" si="0"/>
        <v>34</v>
      </c>
      <c r="L35" s="68" t="s">
        <v>111</v>
      </c>
    </row>
    <row r="36" spans="1:12" ht="12" customHeight="1" x14ac:dyDescent="0.2">
      <c r="A36" s="64">
        <v>32</v>
      </c>
      <c r="B36" s="56">
        <v>24032491</v>
      </c>
      <c r="C36" s="65" t="s">
        <v>38</v>
      </c>
      <c r="D36" s="64">
        <v>50</v>
      </c>
      <c r="E36" s="64">
        <v>23</v>
      </c>
      <c r="F36" s="66">
        <v>11</v>
      </c>
      <c r="G36" s="64">
        <v>5</v>
      </c>
      <c r="H36" s="66">
        <v>8</v>
      </c>
      <c r="I36" s="66">
        <v>3</v>
      </c>
      <c r="J36" s="66">
        <v>7</v>
      </c>
      <c r="K36" s="62">
        <f t="shared" si="0"/>
        <v>34</v>
      </c>
      <c r="L36" s="68" t="s">
        <v>111</v>
      </c>
    </row>
    <row r="37" spans="1:12" ht="12" customHeight="1" x14ac:dyDescent="0.2">
      <c r="A37" s="64">
        <v>33</v>
      </c>
      <c r="B37" s="56">
        <v>24032492</v>
      </c>
      <c r="C37" s="65" t="s">
        <v>39</v>
      </c>
      <c r="D37" s="64">
        <v>50</v>
      </c>
      <c r="E37" s="64">
        <v>23</v>
      </c>
      <c r="F37" s="66">
        <v>42</v>
      </c>
      <c r="G37" s="64">
        <v>33</v>
      </c>
      <c r="H37" s="66">
        <v>42</v>
      </c>
      <c r="I37" s="66">
        <v>42</v>
      </c>
      <c r="J37" s="66">
        <v>45</v>
      </c>
      <c r="K37" s="62">
        <f t="shared" si="0"/>
        <v>204</v>
      </c>
      <c r="L37" s="72" t="s">
        <v>114</v>
      </c>
    </row>
    <row r="38" spans="1:12" ht="12" customHeight="1" x14ac:dyDescent="0.2">
      <c r="A38" s="64">
        <v>34</v>
      </c>
      <c r="B38" s="56">
        <v>24032493</v>
      </c>
      <c r="C38" s="65" t="s">
        <v>40</v>
      </c>
      <c r="D38" s="64">
        <v>50</v>
      </c>
      <c r="E38" s="64">
        <v>23</v>
      </c>
      <c r="F38" s="66">
        <v>20</v>
      </c>
      <c r="G38" s="64">
        <v>20</v>
      </c>
      <c r="H38" s="66">
        <v>29</v>
      </c>
      <c r="I38" s="66">
        <v>31</v>
      </c>
      <c r="J38" s="66">
        <v>32</v>
      </c>
      <c r="K38" s="62">
        <f t="shared" si="0"/>
        <v>132</v>
      </c>
      <c r="L38" s="68" t="s">
        <v>111</v>
      </c>
    </row>
    <row r="39" spans="1:12" ht="12" customHeight="1" x14ac:dyDescent="0.2">
      <c r="A39" s="64">
        <v>35</v>
      </c>
      <c r="B39" s="56">
        <v>24032494</v>
      </c>
      <c r="C39" s="65" t="s">
        <v>41</v>
      </c>
      <c r="D39" s="64">
        <v>50</v>
      </c>
      <c r="E39" s="64">
        <v>23</v>
      </c>
      <c r="F39" s="66" t="s">
        <v>191</v>
      </c>
      <c r="G39" s="70" t="s">
        <v>191</v>
      </c>
      <c r="H39" s="66" t="s">
        <v>191</v>
      </c>
      <c r="I39" s="66" t="s">
        <v>191</v>
      </c>
      <c r="J39" s="66" t="s">
        <v>191</v>
      </c>
      <c r="K39" s="62" t="e">
        <f t="shared" si="0"/>
        <v>#VALUE!</v>
      </c>
      <c r="L39" s="68" t="s">
        <v>111</v>
      </c>
    </row>
    <row r="40" spans="1:12" ht="12" customHeight="1" x14ac:dyDescent="0.2">
      <c r="A40" s="64">
        <v>36</v>
      </c>
      <c r="B40" s="56">
        <v>24032495</v>
      </c>
      <c r="C40" s="65" t="s">
        <v>42</v>
      </c>
      <c r="D40" s="64">
        <v>50</v>
      </c>
      <c r="E40" s="64">
        <v>23</v>
      </c>
      <c r="F40" s="66">
        <v>19</v>
      </c>
      <c r="G40" s="64">
        <v>18</v>
      </c>
      <c r="H40" s="73">
        <v>25</v>
      </c>
      <c r="I40" s="66">
        <v>24</v>
      </c>
      <c r="J40" s="66">
        <v>30</v>
      </c>
      <c r="K40" s="62">
        <f t="shared" si="0"/>
        <v>116</v>
      </c>
      <c r="L40" s="68" t="s">
        <v>111</v>
      </c>
    </row>
    <row r="41" spans="1:12" ht="12" customHeight="1" x14ac:dyDescent="0.2">
      <c r="A41" s="64">
        <v>37</v>
      </c>
      <c r="B41" s="56">
        <v>24032496</v>
      </c>
      <c r="C41" s="65" t="s">
        <v>43</v>
      </c>
      <c r="D41" s="64">
        <v>50</v>
      </c>
      <c r="E41" s="64">
        <v>23</v>
      </c>
      <c r="F41" s="66">
        <v>3</v>
      </c>
      <c r="G41" s="64">
        <v>5</v>
      </c>
      <c r="H41" s="73">
        <v>2</v>
      </c>
      <c r="I41" s="66">
        <v>2</v>
      </c>
      <c r="J41" s="66">
        <v>4</v>
      </c>
      <c r="K41" s="62">
        <f t="shared" si="0"/>
        <v>16</v>
      </c>
      <c r="L41" s="68" t="s">
        <v>111</v>
      </c>
    </row>
    <row r="42" spans="1:12" ht="12" customHeight="1" x14ac:dyDescent="0.2">
      <c r="A42" s="64">
        <v>38</v>
      </c>
      <c r="B42" s="56">
        <v>24032497</v>
      </c>
      <c r="C42" s="65" t="s">
        <v>44</v>
      </c>
      <c r="D42" s="64">
        <v>50</v>
      </c>
      <c r="E42" s="64">
        <v>23</v>
      </c>
      <c r="F42" s="66">
        <v>26</v>
      </c>
      <c r="G42" s="64">
        <v>6</v>
      </c>
      <c r="H42" s="73">
        <v>30</v>
      </c>
      <c r="I42" s="66">
        <v>27</v>
      </c>
      <c r="J42" s="66">
        <v>13</v>
      </c>
      <c r="K42" s="62">
        <f t="shared" si="0"/>
        <v>102</v>
      </c>
      <c r="L42" s="68" t="s">
        <v>111</v>
      </c>
    </row>
    <row r="43" spans="1:12" ht="12" customHeight="1" x14ac:dyDescent="0.2">
      <c r="A43" s="64">
        <v>39</v>
      </c>
      <c r="B43" s="56">
        <v>24032498</v>
      </c>
      <c r="C43" s="65" t="s">
        <v>45</v>
      </c>
      <c r="D43" s="64">
        <v>50</v>
      </c>
      <c r="E43" s="64">
        <v>23</v>
      </c>
      <c r="F43" s="66" t="s">
        <v>191</v>
      </c>
      <c r="G43" s="64" t="s">
        <v>191</v>
      </c>
      <c r="H43" s="73"/>
      <c r="I43" s="66" t="s">
        <v>191</v>
      </c>
      <c r="J43" s="66" t="s">
        <v>191</v>
      </c>
      <c r="K43" s="62" t="e">
        <f t="shared" si="0"/>
        <v>#VALUE!</v>
      </c>
      <c r="L43" s="68" t="s">
        <v>111</v>
      </c>
    </row>
    <row r="44" spans="1:12" ht="12" customHeight="1" x14ac:dyDescent="0.2">
      <c r="A44" s="64">
        <v>40</v>
      </c>
      <c r="B44" s="56">
        <v>24032499</v>
      </c>
      <c r="C44" s="65" t="s">
        <v>46</v>
      </c>
      <c r="D44" s="64">
        <v>50</v>
      </c>
      <c r="E44" s="64">
        <v>23</v>
      </c>
      <c r="F44" s="64">
        <v>32</v>
      </c>
      <c r="G44" s="64">
        <v>29</v>
      </c>
      <c r="H44" s="73">
        <v>34</v>
      </c>
      <c r="I44" s="64">
        <v>29</v>
      </c>
      <c r="J44" s="64">
        <v>41</v>
      </c>
      <c r="K44" s="62">
        <f t="shared" si="0"/>
        <v>165</v>
      </c>
      <c r="L44" s="72" t="s">
        <v>114</v>
      </c>
    </row>
    <row r="45" spans="1:12" ht="12" customHeight="1" x14ac:dyDescent="0.2">
      <c r="A45" s="64">
        <v>41</v>
      </c>
      <c r="B45" s="56">
        <v>24032500</v>
      </c>
      <c r="C45" s="65" t="s">
        <v>47</v>
      </c>
      <c r="D45" s="64">
        <v>50</v>
      </c>
      <c r="E45" s="64">
        <v>23</v>
      </c>
      <c r="F45" s="64">
        <v>31</v>
      </c>
      <c r="G45" s="64">
        <v>10</v>
      </c>
      <c r="H45" s="74">
        <v>10</v>
      </c>
      <c r="I45" s="64">
        <v>23</v>
      </c>
      <c r="J45" s="64">
        <v>10</v>
      </c>
      <c r="K45" s="62">
        <f t="shared" si="0"/>
        <v>84</v>
      </c>
      <c r="L45" s="68" t="s">
        <v>111</v>
      </c>
    </row>
    <row r="46" spans="1:12" ht="12" customHeight="1" x14ac:dyDescent="0.2">
      <c r="A46" s="64">
        <v>42</v>
      </c>
      <c r="B46" s="56">
        <v>24032501</v>
      </c>
      <c r="C46" s="65" t="s">
        <v>48</v>
      </c>
      <c r="D46" s="64">
        <v>50</v>
      </c>
      <c r="E46" s="64">
        <v>23</v>
      </c>
      <c r="F46" s="64">
        <v>37</v>
      </c>
      <c r="G46" s="64">
        <v>10</v>
      </c>
      <c r="H46" s="74">
        <v>10</v>
      </c>
      <c r="I46" s="64">
        <v>23</v>
      </c>
      <c r="J46" s="64">
        <v>10</v>
      </c>
      <c r="K46" s="62">
        <f t="shared" si="0"/>
        <v>90</v>
      </c>
      <c r="L46" s="68" t="s">
        <v>111</v>
      </c>
    </row>
    <row r="47" spans="1:12" ht="12" customHeight="1" x14ac:dyDescent="0.2">
      <c r="A47" s="64">
        <v>43</v>
      </c>
      <c r="B47" s="56">
        <v>24032502</v>
      </c>
      <c r="C47" s="65" t="s">
        <v>49</v>
      </c>
      <c r="D47" s="64">
        <v>50</v>
      </c>
      <c r="E47" s="64">
        <v>23</v>
      </c>
      <c r="F47" s="64">
        <v>21</v>
      </c>
      <c r="G47" s="64">
        <v>10</v>
      </c>
      <c r="H47" s="74">
        <v>25</v>
      </c>
      <c r="I47" s="64">
        <v>19</v>
      </c>
      <c r="J47" s="64">
        <v>11</v>
      </c>
      <c r="K47" s="62">
        <f t="shared" si="0"/>
        <v>86</v>
      </c>
      <c r="L47" s="68" t="s">
        <v>111</v>
      </c>
    </row>
    <row r="48" spans="1:12" ht="12" customHeight="1" x14ac:dyDescent="0.2">
      <c r="A48" s="64">
        <v>44</v>
      </c>
      <c r="B48" s="56">
        <v>24032504</v>
      </c>
      <c r="C48" s="65" t="s">
        <v>50</v>
      </c>
      <c r="D48" s="64">
        <v>50</v>
      </c>
      <c r="E48" s="64">
        <v>23</v>
      </c>
      <c r="F48" s="64">
        <v>2</v>
      </c>
      <c r="G48" s="64">
        <v>8</v>
      </c>
      <c r="H48" s="74">
        <v>5</v>
      </c>
      <c r="I48" s="64">
        <v>8</v>
      </c>
      <c r="J48" s="64">
        <v>12</v>
      </c>
      <c r="K48" s="62">
        <f t="shared" si="0"/>
        <v>35</v>
      </c>
      <c r="L48" s="68" t="s">
        <v>111</v>
      </c>
    </row>
    <row r="49" spans="1:12" ht="11.25" customHeight="1" x14ac:dyDescent="0.2">
      <c r="A49" s="64">
        <v>45</v>
      </c>
      <c r="B49" s="64">
        <v>24032503</v>
      </c>
      <c r="C49" s="75" t="s">
        <v>115</v>
      </c>
      <c r="D49" s="64">
        <v>50</v>
      </c>
      <c r="E49" s="64">
        <v>23</v>
      </c>
      <c r="F49" s="64" t="s">
        <v>191</v>
      </c>
      <c r="G49" s="64" t="s">
        <v>191</v>
      </c>
      <c r="H49" s="64" t="s">
        <v>191</v>
      </c>
      <c r="I49" s="64" t="s">
        <v>191</v>
      </c>
      <c r="J49" s="64" t="s">
        <v>191</v>
      </c>
      <c r="K49" s="62" t="e">
        <f t="shared" si="0"/>
        <v>#VALUE!</v>
      </c>
      <c r="L49" s="68" t="s">
        <v>111</v>
      </c>
    </row>
  </sheetData>
  <mergeCells count="3">
    <mergeCell ref="A1:L1"/>
    <mergeCell ref="A2:L2"/>
    <mergeCell ref="A3:L3"/>
  </mergeCells>
  <pageMargins left="0.24" right="0.25" top="0.26" bottom="0.23" header="0.2" footer="0.2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8"/>
  <sheetViews>
    <sheetView topLeftCell="A16" workbookViewId="0">
      <selection activeCell="F8" sqref="F8"/>
    </sheetView>
  </sheetViews>
  <sheetFormatPr defaultRowHeight="15.75" x14ac:dyDescent="0.25"/>
  <cols>
    <col min="1" max="1" width="4.28515625" style="7" customWidth="1"/>
    <col min="2" max="2" width="10.7109375" style="1" customWidth="1"/>
    <col min="3" max="3" width="31.85546875" style="1" customWidth="1"/>
    <col min="4" max="4" width="7.85546875" style="7" customWidth="1"/>
    <col min="5" max="5" width="7" style="7" customWidth="1"/>
    <col min="6" max="6" width="21.140625" style="1" customWidth="1"/>
    <col min="7" max="7" width="19" style="1" customWidth="1"/>
    <col min="8" max="8" width="14.85546875" style="1" customWidth="1"/>
    <col min="9" max="9" width="18.28515625" style="1" customWidth="1"/>
    <col min="10" max="10" width="20.5703125" style="1" customWidth="1"/>
    <col min="11" max="11" width="12.85546875" style="1" customWidth="1"/>
    <col min="12" max="12" width="9.42578125" style="1" customWidth="1"/>
    <col min="13" max="16384" width="9.140625" style="1"/>
  </cols>
  <sheetData>
    <row r="1" spans="1:14" x14ac:dyDescent="0.25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4" x14ac:dyDescent="0.25">
      <c r="A2" s="93" t="s">
        <v>118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</row>
    <row r="3" spans="1:14" ht="16.5" thickBot="1" x14ac:dyDescent="0.3">
      <c r="A3" s="94" t="s">
        <v>119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</row>
    <row r="4" spans="1:14" s="14" customFormat="1" ht="26.25" thickBot="1" x14ac:dyDescent="0.25">
      <c r="A4" s="36" t="s">
        <v>1</v>
      </c>
      <c r="B4" s="37" t="s">
        <v>174</v>
      </c>
      <c r="C4" s="37" t="s">
        <v>2</v>
      </c>
      <c r="D4" s="37" t="s">
        <v>3</v>
      </c>
      <c r="E4" s="37" t="s">
        <v>4</v>
      </c>
      <c r="F4" s="45" t="s">
        <v>182</v>
      </c>
      <c r="G4" s="44" t="s">
        <v>180</v>
      </c>
      <c r="H4" s="45" t="s">
        <v>181</v>
      </c>
      <c r="I4" s="44" t="s">
        <v>178</v>
      </c>
      <c r="J4" s="45" t="s">
        <v>188</v>
      </c>
      <c r="K4" s="41" t="s">
        <v>5</v>
      </c>
      <c r="L4" s="42" t="s">
        <v>6</v>
      </c>
      <c r="M4" s="19"/>
      <c r="N4" s="19"/>
    </row>
    <row r="5" spans="1:14" x14ac:dyDescent="0.25">
      <c r="A5" s="46">
        <v>1</v>
      </c>
      <c r="B5" s="76">
        <v>23031910</v>
      </c>
      <c r="C5" s="77" t="s">
        <v>51</v>
      </c>
      <c r="D5" s="78">
        <v>50</v>
      </c>
      <c r="E5" s="78">
        <v>23</v>
      </c>
      <c r="F5" s="78">
        <v>36</v>
      </c>
      <c r="G5" s="47">
        <v>35</v>
      </c>
      <c r="H5" s="78">
        <v>40</v>
      </c>
      <c r="I5" s="78">
        <v>35</v>
      </c>
      <c r="J5" s="78">
        <v>23</v>
      </c>
      <c r="K5" s="78">
        <f>SUM(F5+G5+H5+I5+J5)</f>
        <v>169</v>
      </c>
      <c r="L5" s="86" t="s">
        <v>114</v>
      </c>
      <c r="M5" s="23"/>
    </row>
    <row r="6" spans="1:14" x14ac:dyDescent="0.25">
      <c r="A6" s="8">
        <v>2</v>
      </c>
      <c r="B6" s="79">
        <v>23031912</v>
      </c>
      <c r="C6" s="80" t="s">
        <v>52</v>
      </c>
      <c r="D6" s="24">
        <v>50</v>
      </c>
      <c r="E6" s="24">
        <v>23</v>
      </c>
      <c r="F6" s="24">
        <v>43</v>
      </c>
      <c r="G6" s="81">
        <v>39</v>
      </c>
      <c r="H6" s="24">
        <v>45</v>
      </c>
      <c r="I6" s="24">
        <v>39</v>
      </c>
      <c r="J6" s="24">
        <v>34</v>
      </c>
      <c r="K6" s="78">
        <f t="shared" ref="K6:K28" si="0">SUM(F6+G6+H6+I6+J6)</f>
        <v>200</v>
      </c>
      <c r="L6" s="86" t="s">
        <v>114</v>
      </c>
      <c r="M6" s="23"/>
    </row>
    <row r="7" spans="1:14" x14ac:dyDescent="0.25">
      <c r="A7" s="8">
        <v>3</v>
      </c>
      <c r="B7" s="79">
        <v>23031913</v>
      </c>
      <c r="C7" s="80" t="s">
        <v>53</v>
      </c>
      <c r="D7" s="24">
        <v>50</v>
      </c>
      <c r="E7" s="24">
        <v>23</v>
      </c>
      <c r="F7" s="12" t="s">
        <v>191</v>
      </c>
      <c r="G7" s="81">
        <v>23</v>
      </c>
      <c r="H7" s="24">
        <v>22</v>
      </c>
      <c r="I7" s="24">
        <v>23</v>
      </c>
      <c r="J7" s="24">
        <v>11</v>
      </c>
      <c r="K7" s="78" t="e">
        <f t="shared" si="0"/>
        <v>#VALUE!</v>
      </c>
      <c r="L7" s="82" t="s">
        <v>111</v>
      </c>
      <c r="M7" s="23"/>
    </row>
    <row r="8" spans="1:14" x14ac:dyDescent="0.25">
      <c r="A8" s="8">
        <v>4</v>
      </c>
      <c r="B8" s="79">
        <v>23031914</v>
      </c>
      <c r="C8" s="80" t="s">
        <v>54</v>
      </c>
      <c r="D8" s="24">
        <v>50</v>
      </c>
      <c r="E8" s="24">
        <v>23</v>
      </c>
      <c r="F8" s="24">
        <v>10</v>
      </c>
      <c r="G8" s="79">
        <v>15</v>
      </c>
      <c r="H8" s="24">
        <v>30</v>
      </c>
      <c r="I8" s="24">
        <v>15</v>
      </c>
      <c r="J8" s="24">
        <v>35</v>
      </c>
      <c r="K8" s="78">
        <f t="shared" si="0"/>
        <v>105</v>
      </c>
      <c r="L8" s="82" t="s">
        <v>111</v>
      </c>
      <c r="M8" s="23"/>
    </row>
    <row r="9" spans="1:14" x14ac:dyDescent="0.25">
      <c r="A9" s="24">
        <v>5</v>
      </c>
      <c r="B9" s="79">
        <v>23031915</v>
      </c>
      <c r="C9" s="80" t="s">
        <v>55</v>
      </c>
      <c r="D9" s="24">
        <v>50</v>
      </c>
      <c r="E9" s="24">
        <v>23</v>
      </c>
      <c r="F9" s="24">
        <v>39</v>
      </c>
      <c r="G9" s="79">
        <v>42</v>
      </c>
      <c r="H9" s="24">
        <v>46</v>
      </c>
      <c r="I9" s="24">
        <v>42</v>
      </c>
      <c r="J9" s="24">
        <v>41</v>
      </c>
      <c r="K9" s="78">
        <f t="shared" si="0"/>
        <v>210</v>
      </c>
      <c r="L9" s="86" t="s">
        <v>114</v>
      </c>
      <c r="M9" s="23"/>
    </row>
    <row r="10" spans="1:14" x14ac:dyDescent="0.25">
      <c r="A10" s="8">
        <v>6</v>
      </c>
      <c r="B10" s="79">
        <v>23031917</v>
      </c>
      <c r="C10" s="80" t="s">
        <v>56</v>
      </c>
      <c r="D10" s="24">
        <v>50</v>
      </c>
      <c r="E10" s="24">
        <v>23</v>
      </c>
      <c r="F10" s="24">
        <v>14</v>
      </c>
      <c r="G10" s="79">
        <v>27</v>
      </c>
      <c r="H10" s="24">
        <v>33</v>
      </c>
      <c r="I10" s="24">
        <v>27</v>
      </c>
      <c r="J10" s="24">
        <v>21</v>
      </c>
      <c r="K10" s="78">
        <f t="shared" si="0"/>
        <v>122</v>
      </c>
      <c r="L10" s="82" t="s">
        <v>111</v>
      </c>
      <c r="M10" s="23"/>
    </row>
    <row r="11" spans="1:14" x14ac:dyDescent="0.25">
      <c r="A11" s="8">
        <v>7</v>
      </c>
      <c r="B11" s="79">
        <v>23031918</v>
      </c>
      <c r="C11" s="80" t="s">
        <v>57</v>
      </c>
      <c r="D11" s="24">
        <v>50</v>
      </c>
      <c r="E11" s="24">
        <v>23</v>
      </c>
      <c r="F11" s="24">
        <v>16</v>
      </c>
      <c r="G11" s="79">
        <v>23</v>
      </c>
      <c r="H11" s="24">
        <v>26</v>
      </c>
      <c r="I11" s="24">
        <v>23</v>
      </c>
      <c r="J11" s="24">
        <v>19</v>
      </c>
      <c r="K11" s="78">
        <f t="shared" si="0"/>
        <v>107</v>
      </c>
      <c r="L11" s="82" t="s">
        <v>111</v>
      </c>
      <c r="M11" s="23"/>
    </row>
    <row r="12" spans="1:14" x14ac:dyDescent="0.25">
      <c r="A12" s="8">
        <v>8</v>
      </c>
      <c r="B12" s="79">
        <v>23031919</v>
      </c>
      <c r="C12" s="80" t="s">
        <v>58</v>
      </c>
      <c r="D12" s="24">
        <v>50</v>
      </c>
      <c r="E12" s="24">
        <v>23</v>
      </c>
      <c r="F12" s="24">
        <v>19</v>
      </c>
      <c r="G12" s="79">
        <v>38</v>
      </c>
      <c r="H12" s="24">
        <v>36</v>
      </c>
      <c r="I12" s="24">
        <v>38</v>
      </c>
      <c r="J12" s="24">
        <v>31</v>
      </c>
      <c r="K12" s="78">
        <f t="shared" si="0"/>
        <v>162</v>
      </c>
      <c r="L12" s="82" t="s">
        <v>111</v>
      </c>
      <c r="M12" s="23"/>
    </row>
    <row r="13" spans="1:14" x14ac:dyDescent="0.25">
      <c r="A13" s="8">
        <v>9</v>
      </c>
      <c r="B13" s="79">
        <v>23031920</v>
      </c>
      <c r="C13" s="80" t="s">
        <v>59</v>
      </c>
      <c r="D13" s="24">
        <v>50</v>
      </c>
      <c r="E13" s="24">
        <v>23</v>
      </c>
      <c r="F13" s="24">
        <v>0</v>
      </c>
      <c r="G13" s="79">
        <v>30</v>
      </c>
      <c r="H13" s="24">
        <v>29</v>
      </c>
      <c r="I13" s="24">
        <v>30</v>
      </c>
      <c r="J13" s="24">
        <v>18</v>
      </c>
      <c r="K13" s="78">
        <f t="shared" si="0"/>
        <v>107</v>
      </c>
      <c r="L13" s="82" t="s">
        <v>111</v>
      </c>
      <c r="M13" s="23"/>
    </row>
    <row r="14" spans="1:14" x14ac:dyDescent="0.25">
      <c r="A14" s="24">
        <v>10</v>
      </c>
      <c r="B14" s="79">
        <v>23031921</v>
      </c>
      <c r="C14" s="80" t="s">
        <v>60</v>
      </c>
      <c r="D14" s="24">
        <v>50</v>
      </c>
      <c r="E14" s="24">
        <v>23</v>
      </c>
      <c r="F14" s="24">
        <v>44</v>
      </c>
      <c r="G14" s="79">
        <v>41</v>
      </c>
      <c r="H14" s="24">
        <v>45</v>
      </c>
      <c r="I14" s="24">
        <v>41</v>
      </c>
      <c r="J14" s="24">
        <v>41</v>
      </c>
      <c r="K14" s="78">
        <f t="shared" si="0"/>
        <v>212</v>
      </c>
      <c r="L14" s="86" t="s">
        <v>114</v>
      </c>
      <c r="M14" s="23"/>
    </row>
    <row r="15" spans="1:14" x14ac:dyDescent="0.25">
      <c r="A15" s="8">
        <v>11</v>
      </c>
      <c r="B15" s="83">
        <v>23031923</v>
      </c>
      <c r="C15" s="84" t="s">
        <v>61</v>
      </c>
      <c r="D15" s="8">
        <v>50</v>
      </c>
      <c r="E15" s="8">
        <v>23</v>
      </c>
      <c r="F15" s="24">
        <v>16</v>
      </c>
      <c r="G15" s="85">
        <v>14</v>
      </c>
      <c r="H15" s="24">
        <v>18</v>
      </c>
      <c r="I15" s="24">
        <v>14</v>
      </c>
      <c r="J15" s="24">
        <v>17</v>
      </c>
      <c r="K15" s="78">
        <f t="shared" si="0"/>
        <v>79</v>
      </c>
      <c r="L15" s="82" t="s">
        <v>111</v>
      </c>
    </row>
    <row r="16" spans="1:14" x14ac:dyDescent="0.25">
      <c r="A16" s="8">
        <v>12</v>
      </c>
      <c r="B16" s="83">
        <v>23031925</v>
      </c>
      <c r="C16" s="84" t="s">
        <v>62</v>
      </c>
      <c r="D16" s="8">
        <v>50</v>
      </c>
      <c r="E16" s="8">
        <v>23</v>
      </c>
      <c r="F16" s="24">
        <v>37</v>
      </c>
      <c r="G16" s="85">
        <v>40</v>
      </c>
      <c r="H16" s="24">
        <v>41</v>
      </c>
      <c r="I16" s="24">
        <v>40</v>
      </c>
      <c r="J16" s="24">
        <v>40</v>
      </c>
      <c r="K16" s="78">
        <f t="shared" si="0"/>
        <v>198</v>
      </c>
      <c r="L16" s="86" t="s">
        <v>114</v>
      </c>
    </row>
    <row r="17" spans="1:12" x14ac:dyDescent="0.25">
      <c r="A17" s="8">
        <v>13</v>
      </c>
      <c r="B17" s="83">
        <v>23031926</v>
      </c>
      <c r="C17" s="84" t="s">
        <v>63</v>
      </c>
      <c r="D17" s="8">
        <v>50</v>
      </c>
      <c r="E17" s="8">
        <v>23</v>
      </c>
      <c r="F17" s="24">
        <v>0</v>
      </c>
      <c r="G17" s="85">
        <v>3</v>
      </c>
      <c r="H17" s="24">
        <v>4</v>
      </c>
      <c r="I17" s="24">
        <v>3</v>
      </c>
      <c r="J17" s="24">
        <v>10</v>
      </c>
      <c r="K17" s="78">
        <f t="shared" si="0"/>
        <v>20</v>
      </c>
      <c r="L17" s="82" t="s">
        <v>111</v>
      </c>
    </row>
    <row r="18" spans="1:12" x14ac:dyDescent="0.25">
      <c r="A18" s="8">
        <v>14</v>
      </c>
      <c r="B18" s="83">
        <v>23031927</v>
      </c>
      <c r="C18" s="84" t="s">
        <v>64</v>
      </c>
      <c r="D18" s="8">
        <v>50</v>
      </c>
      <c r="E18" s="8">
        <v>23</v>
      </c>
      <c r="F18" s="24">
        <v>35</v>
      </c>
      <c r="G18" s="85">
        <v>26</v>
      </c>
      <c r="H18" s="24">
        <v>22</v>
      </c>
      <c r="I18" s="24">
        <v>26</v>
      </c>
      <c r="J18" s="24">
        <v>19</v>
      </c>
      <c r="K18" s="78">
        <f t="shared" si="0"/>
        <v>128</v>
      </c>
      <c r="L18" s="82" t="s">
        <v>111</v>
      </c>
    </row>
    <row r="19" spans="1:12" x14ac:dyDescent="0.25">
      <c r="A19" s="8">
        <v>15</v>
      </c>
      <c r="B19" s="83">
        <v>23031928</v>
      </c>
      <c r="C19" s="84" t="s">
        <v>65</v>
      </c>
      <c r="D19" s="8">
        <v>50</v>
      </c>
      <c r="E19" s="8">
        <v>23</v>
      </c>
      <c r="F19" s="24">
        <v>31</v>
      </c>
      <c r="G19" s="85">
        <v>35</v>
      </c>
      <c r="H19" s="24">
        <v>35</v>
      </c>
      <c r="I19" s="24">
        <v>35</v>
      </c>
      <c r="J19" s="24">
        <v>14</v>
      </c>
      <c r="K19" s="78">
        <f t="shared" si="0"/>
        <v>150</v>
      </c>
      <c r="L19" s="82" t="s">
        <v>111</v>
      </c>
    </row>
    <row r="20" spans="1:12" x14ac:dyDescent="0.25">
      <c r="A20" s="8">
        <v>16</v>
      </c>
      <c r="B20" s="83">
        <v>23031929</v>
      </c>
      <c r="C20" s="84" t="s">
        <v>66</v>
      </c>
      <c r="D20" s="8">
        <v>50</v>
      </c>
      <c r="E20" s="8">
        <v>23</v>
      </c>
      <c r="F20" s="24">
        <v>13</v>
      </c>
      <c r="G20" s="85">
        <v>16</v>
      </c>
      <c r="H20" s="24">
        <v>5</v>
      </c>
      <c r="I20" s="24">
        <v>16</v>
      </c>
      <c r="J20" s="24">
        <v>8</v>
      </c>
      <c r="K20" s="78">
        <f t="shared" si="0"/>
        <v>58</v>
      </c>
      <c r="L20" s="82" t="s">
        <v>111</v>
      </c>
    </row>
    <row r="21" spans="1:12" x14ac:dyDescent="0.25">
      <c r="A21" s="8">
        <v>17</v>
      </c>
      <c r="B21" s="83">
        <v>23031930</v>
      </c>
      <c r="C21" s="84" t="s">
        <v>67</v>
      </c>
      <c r="D21" s="8">
        <v>50</v>
      </c>
      <c r="E21" s="8">
        <v>23</v>
      </c>
      <c r="F21" s="24">
        <v>20</v>
      </c>
      <c r="G21" s="85">
        <v>26</v>
      </c>
      <c r="H21" s="24">
        <v>10</v>
      </c>
      <c r="I21" s="24">
        <v>26</v>
      </c>
      <c r="J21" s="24">
        <v>11</v>
      </c>
      <c r="K21" s="78">
        <f t="shared" si="0"/>
        <v>93</v>
      </c>
      <c r="L21" s="82" t="s">
        <v>111</v>
      </c>
    </row>
    <row r="22" spans="1:12" x14ac:dyDescent="0.25">
      <c r="A22" s="8">
        <v>18</v>
      </c>
      <c r="B22" s="83">
        <v>23031931</v>
      </c>
      <c r="C22" s="84" t="s">
        <v>68</v>
      </c>
      <c r="D22" s="8">
        <v>50</v>
      </c>
      <c r="E22" s="8">
        <v>23</v>
      </c>
      <c r="F22" s="24">
        <v>22</v>
      </c>
      <c r="G22" s="85">
        <v>24</v>
      </c>
      <c r="H22" s="24">
        <v>15</v>
      </c>
      <c r="I22" s="24">
        <v>24</v>
      </c>
      <c r="J22" s="24">
        <v>17</v>
      </c>
      <c r="K22" s="78">
        <f t="shared" si="0"/>
        <v>102</v>
      </c>
      <c r="L22" s="82" t="s">
        <v>111</v>
      </c>
    </row>
    <row r="23" spans="1:12" x14ac:dyDescent="0.25">
      <c r="A23" s="8">
        <v>19</v>
      </c>
      <c r="B23" s="83">
        <v>23031932</v>
      </c>
      <c r="C23" s="84" t="s">
        <v>69</v>
      </c>
      <c r="D23" s="8">
        <v>50</v>
      </c>
      <c r="E23" s="8">
        <v>23</v>
      </c>
      <c r="F23" s="24">
        <v>19</v>
      </c>
      <c r="G23" s="85">
        <v>27</v>
      </c>
      <c r="H23" s="24">
        <v>31</v>
      </c>
      <c r="I23" s="24">
        <v>27</v>
      </c>
      <c r="J23" s="24">
        <v>40</v>
      </c>
      <c r="K23" s="78">
        <f t="shared" si="0"/>
        <v>144</v>
      </c>
      <c r="L23" s="82" t="s">
        <v>111</v>
      </c>
    </row>
    <row r="24" spans="1:12" x14ac:dyDescent="0.25">
      <c r="A24" s="8">
        <v>20</v>
      </c>
      <c r="B24" s="83">
        <v>23031933</v>
      </c>
      <c r="C24" s="84" t="s">
        <v>70</v>
      </c>
      <c r="D24" s="8">
        <v>50</v>
      </c>
      <c r="E24" s="8">
        <v>23</v>
      </c>
      <c r="F24" s="24">
        <v>20</v>
      </c>
      <c r="G24" s="85">
        <v>25</v>
      </c>
      <c r="H24" s="24">
        <v>33</v>
      </c>
      <c r="I24" s="24">
        <v>25</v>
      </c>
      <c r="J24" s="24">
        <v>33</v>
      </c>
      <c r="K24" s="78">
        <f t="shared" si="0"/>
        <v>136</v>
      </c>
      <c r="L24" s="82" t="s">
        <v>111</v>
      </c>
    </row>
    <row r="25" spans="1:12" x14ac:dyDescent="0.25">
      <c r="A25" s="8">
        <v>21</v>
      </c>
      <c r="B25" s="83">
        <v>23031934</v>
      </c>
      <c r="C25" s="84" t="s">
        <v>71</v>
      </c>
      <c r="D25" s="8">
        <v>50</v>
      </c>
      <c r="E25" s="8">
        <v>23</v>
      </c>
      <c r="F25" s="12" t="s">
        <v>191</v>
      </c>
      <c r="G25" s="12" t="s">
        <v>191</v>
      </c>
      <c r="H25" s="12" t="s">
        <v>191</v>
      </c>
      <c r="I25" s="12" t="s">
        <v>191</v>
      </c>
      <c r="J25" s="12" t="s">
        <v>191</v>
      </c>
      <c r="K25" s="78" t="e">
        <f t="shared" si="0"/>
        <v>#VALUE!</v>
      </c>
      <c r="L25" s="82" t="s">
        <v>111</v>
      </c>
    </row>
    <row r="26" spans="1:12" x14ac:dyDescent="0.25">
      <c r="A26" s="8">
        <v>22</v>
      </c>
      <c r="B26" s="83">
        <v>23031935</v>
      </c>
      <c r="C26" s="84" t="s">
        <v>72</v>
      </c>
      <c r="D26" s="8">
        <v>50</v>
      </c>
      <c r="E26" s="8">
        <v>23</v>
      </c>
      <c r="F26" s="12" t="s">
        <v>191</v>
      </c>
      <c r="G26" s="12" t="s">
        <v>191</v>
      </c>
      <c r="H26" s="12" t="s">
        <v>191</v>
      </c>
      <c r="I26" s="12" t="s">
        <v>191</v>
      </c>
      <c r="J26" s="12" t="s">
        <v>191</v>
      </c>
      <c r="K26" s="78" t="e">
        <f t="shared" si="0"/>
        <v>#VALUE!</v>
      </c>
      <c r="L26" s="82" t="s">
        <v>111</v>
      </c>
    </row>
    <row r="27" spans="1:12" s="23" customFormat="1" x14ac:dyDescent="0.25">
      <c r="A27" s="24">
        <v>23</v>
      </c>
      <c r="B27" s="79">
        <v>23031936</v>
      </c>
      <c r="C27" s="80" t="s">
        <v>73</v>
      </c>
      <c r="D27" s="24">
        <v>50</v>
      </c>
      <c r="E27" s="24">
        <v>23</v>
      </c>
      <c r="F27" s="24">
        <v>28</v>
      </c>
      <c r="G27" s="79">
        <v>35</v>
      </c>
      <c r="H27" s="24">
        <v>27</v>
      </c>
      <c r="I27" s="24">
        <v>35</v>
      </c>
      <c r="J27" s="24">
        <v>33</v>
      </c>
      <c r="K27" s="78">
        <f t="shared" si="0"/>
        <v>158</v>
      </c>
      <c r="L27" s="86" t="s">
        <v>114</v>
      </c>
    </row>
    <row r="28" spans="1:12" x14ac:dyDescent="0.25">
      <c r="A28" s="8">
        <v>24</v>
      </c>
      <c r="B28" s="83">
        <v>23031937</v>
      </c>
      <c r="C28" s="84" t="s">
        <v>74</v>
      </c>
      <c r="D28" s="8">
        <v>50</v>
      </c>
      <c r="E28" s="8">
        <v>23</v>
      </c>
      <c r="F28" s="24">
        <v>24</v>
      </c>
      <c r="G28" s="85">
        <v>27</v>
      </c>
      <c r="H28" s="24">
        <v>13</v>
      </c>
      <c r="I28" s="24">
        <v>27</v>
      </c>
      <c r="J28" s="24">
        <v>12</v>
      </c>
      <c r="K28" s="78">
        <f t="shared" si="0"/>
        <v>103</v>
      </c>
      <c r="L28" s="82" t="s">
        <v>111</v>
      </c>
    </row>
    <row r="29" spans="1:12" x14ac:dyDescent="0.25">
      <c r="H29" s="1" t="s">
        <v>190</v>
      </c>
      <c r="J29" s="1" t="s">
        <v>192</v>
      </c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</sheetData>
  <mergeCells count="3">
    <mergeCell ref="A1:L1"/>
    <mergeCell ref="A2:L2"/>
    <mergeCell ref="A3:L3"/>
  </mergeCells>
  <pageMargins left="0.45" right="0.37" top="0.75" bottom="0.75" header="0.3" footer="0.3"/>
  <pageSetup paperSize="9" scale="74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9"/>
  <sheetViews>
    <sheetView tabSelected="1" topLeftCell="A19" workbookViewId="0">
      <selection activeCell="C9" sqref="C9"/>
    </sheetView>
  </sheetViews>
  <sheetFormatPr defaultRowHeight="15.75" x14ac:dyDescent="0.25"/>
  <cols>
    <col min="1" max="1" width="5.140625" style="7" customWidth="1"/>
    <col min="2" max="2" width="10.7109375" style="1" customWidth="1"/>
    <col min="3" max="3" width="26.85546875" style="1" customWidth="1"/>
    <col min="4" max="4" width="7.85546875" style="1" customWidth="1"/>
    <col min="5" max="5" width="7" style="1" customWidth="1"/>
    <col min="6" max="6" width="18.140625" style="1" customWidth="1"/>
    <col min="7" max="7" width="24.28515625" style="1" customWidth="1"/>
    <col min="8" max="8" width="21.140625" style="1" customWidth="1"/>
    <col min="9" max="9" width="20.7109375" style="1" customWidth="1"/>
    <col min="10" max="10" width="20.140625" style="1" customWidth="1"/>
    <col min="11" max="11" width="10.7109375" style="1" customWidth="1"/>
    <col min="12" max="12" width="12.140625" style="1" customWidth="1"/>
    <col min="13" max="16384" width="9.140625" style="1"/>
  </cols>
  <sheetData>
    <row r="1" spans="1:14" x14ac:dyDescent="0.25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4" x14ac:dyDescent="0.25">
      <c r="A2" s="93" t="s">
        <v>117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</row>
    <row r="3" spans="1:14" ht="16.5" thickBot="1" x14ac:dyDescent="0.3">
      <c r="A3" s="94" t="s">
        <v>116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</row>
    <row r="4" spans="1:14" ht="33.75" customHeight="1" thickBot="1" x14ac:dyDescent="0.3">
      <c r="A4" s="36" t="s">
        <v>1</v>
      </c>
      <c r="B4" s="37" t="s">
        <v>113</v>
      </c>
      <c r="C4" s="37" t="s">
        <v>2</v>
      </c>
      <c r="D4" s="37" t="s">
        <v>3</v>
      </c>
      <c r="E4" s="37" t="s">
        <v>4</v>
      </c>
      <c r="F4" s="45" t="s">
        <v>183</v>
      </c>
      <c r="G4" s="45" t="s">
        <v>184</v>
      </c>
      <c r="H4" s="44" t="s">
        <v>185</v>
      </c>
      <c r="I4" s="44" t="s">
        <v>187</v>
      </c>
      <c r="J4" s="44" t="s">
        <v>186</v>
      </c>
      <c r="K4" s="41" t="s">
        <v>5</v>
      </c>
      <c r="L4" s="42" t="s">
        <v>6</v>
      </c>
      <c r="M4" s="2"/>
      <c r="N4" s="2"/>
    </row>
    <row r="5" spans="1:14" s="14" customFormat="1" ht="12.75" customHeight="1" x14ac:dyDescent="0.2">
      <c r="A5" s="33">
        <v>1</v>
      </c>
      <c r="B5" s="49">
        <v>22032051</v>
      </c>
      <c r="C5" s="50" t="s">
        <v>75</v>
      </c>
      <c r="D5" s="33">
        <v>50</v>
      </c>
      <c r="E5" s="33">
        <v>23</v>
      </c>
      <c r="F5" s="34">
        <v>26</v>
      </c>
      <c r="G5" s="43">
        <v>14</v>
      </c>
      <c r="H5" s="34">
        <v>25</v>
      </c>
      <c r="I5" s="34">
        <v>9</v>
      </c>
      <c r="J5" s="34">
        <v>14</v>
      </c>
      <c r="K5" s="34">
        <f>SUM(F5,G5,H5,I5,J5)</f>
        <v>88</v>
      </c>
      <c r="L5" s="51" t="s">
        <v>111</v>
      </c>
    </row>
    <row r="6" spans="1:14" s="14" customFormat="1" ht="12.75" customHeight="1" x14ac:dyDescent="0.2">
      <c r="A6" s="11">
        <v>2</v>
      </c>
      <c r="B6" s="52">
        <v>22032052</v>
      </c>
      <c r="C6" s="53" t="s">
        <v>76</v>
      </c>
      <c r="D6" s="11">
        <v>50</v>
      </c>
      <c r="E6" s="11">
        <v>23</v>
      </c>
      <c r="F6" s="12">
        <v>38</v>
      </c>
      <c r="G6" s="3">
        <v>19</v>
      </c>
      <c r="H6" s="12">
        <v>40</v>
      </c>
      <c r="I6" s="12">
        <v>38</v>
      </c>
      <c r="J6" s="12">
        <v>41</v>
      </c>
      <c r="K6" s="34">
        <f t="shared" ref="K6:K40" si="0">SUM(F6,G6,H6,I6,J6)</f>
        <v>176</v>
      </c>
      <c r="L6" s="54" t="s">
        <v>111</v>
      </c>
    </row>
    <row r="7" spans="1:14" s="14" customFormat="1" ht="12.75" customHeight="1" x14ac:dyDescent="0.2">
      <c r="A7" s="11">
        <v>3</v>
      </c>
      <c r="B7" s="52">
        <v>22032053</v>
      </c>
      <c r="C7" s="53" t="s">
        <v>77</v>
      </c>
      <c r="D7" s="11">
        <v>50</v>
      </c>
      <c r="E7" s="11">
        <v>23</v>
      </c>
      <c r="F7" s="12" t="s">
        <v>191</v>
      </c>
      <c r="G7" s="12" t="s">
        <v>191</v>
      </c>
      <c r="H7" s="12" t="s">
        <v>189</v>
      </c>
      <c r="I7" s="12" t="s">
        <v>191</v>
      </c>
      <c r="J7" s="12" t="s">
        <v>191</v>
      </c>
      <c r="K7" s="34">
        <f t="shared" si="0"/>
        <v>0</v>
      </c>
      <c r="L7" s="54" t="s">
        <v>111</v>
      </c>
    </row>
    <row r="8" spans="1:14" s="14" customFormat="1" ht="12.75" customHeight="1" x14ac:dyDescent="0.2">
      <c r="A8" s="11">
        <v>4</v>
      </c>
      <c r="B8" s="52">
        <v>22032055</v>
      </c>
      <c r="C8" s="53" t="s">
        <v>78</v>
      </c>
      <c r="D8" s="11">
        <v>50</v>
      </c>
      <c r="E8" s="11">
        <v>23</v>
      </c>
      <c r="F8" s="12">
        <v>19</v>
      </c>
      <c r="G8" s="11">
        <v>2</v>
      </c>
      <c r="H8" s="12">
        <v>23</v>
      </c>
      <c r="I8" s="12">
        <v>13</v>
      </c>
      <c r="J8" s="12">
        <v>14</v>
      </c>
      <c r="K8" s="34">
        <f t="shared" si="0"/>
        <v>71</v>
      </c>
      <c r="L8" s="54" t="s">
        <v>111</v>
      </c>
    </row>
    <row r="9" spans="1:14" s="14" customFormat="1" ht="12.75" customHeight="1" x14ac:dyDescent="0.2">
      <c r="A9" s="11">
        <v>5</v>
      </c>
      <c r="B9" s="52">
        <v>22032056</v>
      </c>
      <c r="C9" s="53" t="s">
        <v>79</v>
      </c>
      <c r="D9" s="11">
        <v>50</v>
      </c>
      <c r="E9" s="11">
        <v>23</v>
      </c>
      <c r="F9" s="12">
        <v>20</v>
      </c>
      <c r="G9" s="11">
        <v>5</v>
      </c>
      <c r="H9" s="12" t="s">
        <v>189</v>
      </c>
      <c r="I9" s="12">
        <v>17</v>
      </c>
      <c r="J9" s="12">
        <v>21</v>
      </c>
      <c r="K9" s="34">
        <f t="shared" si="0"/>
        <v>63</v>
      </c>
      <c r="L9" s="54" t="s">
        <v>111</v>
      </c>
      <c r="N9" s="55"/>
    </row>
    <row r="10" spans="1:14" s="14" customFormat="1" ht="12.75" customHeight="1" x14ac:dyDescent="0.2">
      <c r="A10" s="11">
        <v>6</v>
      </c>
      <c r="B10" s="52">
        <v>22032057</v>
      </c>
      <c r="C10" s="53" t="s">
        <v>80</v>
      </c>
      <c r="D10" s="11">
        <v>50</v>
      </c>
      <c r="E10" s="11">
        <v>23</v>
      </c>
      <c r="F10" s="12">
        <v>6</v>
      </c>
      <c r="G10" s="11">
        <v>6</v>
      </c>
      <c r="H10" s="12">
        <v>25</v>
      </c>
      <c r="I10" s="12" t="s">
        <v>191</v>
      </c>
      <c r="J10" s="12">
        <v>17</v>
      </c>
      <c r="K10" s="34">
        <f t="shared" si="0"/>
        <v>54</v>
      </c>
      <c r="L10" s="54" t="s">
        <v>111</v>
      </c>
    </row>
    <row r="11" spans="1:14" s="14" customFormat="1" ht="12.75" customHeight="1" x14ac:dyDescent="0.2">
      <c r="A11" s="11">
        <v>7</v>
      </c>
      <c r="B11" s="52">
        <v>22032058</v>
      </c>
      <c r="C11" s="53" t="s">
        <v>81</v>
      </c>
      <c r="D11" s="11">
        <v>50</v>
      </c>
      <c r="E11" s="11">
        <v>23</v>
      </c>
      <c r="F11" s="12">
        <v>30</v>
      </c>
      <c r="G11" s="11">
        <v>5</v>
      </c>
      <c r="H11" s="12">
        <v>34</v>
      </c>
      <c r="I11" s="12">
        <v>19</v>
      </c>
      <c r="J11" s="12">
        <v>22</v>
      </c>
      <c r="K11" s="34">
        <f t="shared" si="0"/>
        <v>110</v>
      </c>
      <c r="L11" s="54" t="s">
        <v>111</v>
      </c>
    </row>
    <row r="12" spans="1:14" s="14" customFormat="1" ht="12.75" customHeight="1" x14ac:dyDescent="0.2">
      <c r="A12" s="11">
        <v>8</v>
      </c>
      <c r="B12" s="52">
        <v>22032059</v>
      </c>
      <c r="C12" s="53" t="s">
        <v>82</v>
      </c>
      <c r="D12" s="11">
        <v>50</v>
      </c>
      <c r="E12" s="11">
        <v>23</v>
      </c>
      <c r="F12" s="12">
        <v>25</v>
      </c>
      <c r="G12" s="11">
        <v>11</v>
      </c>
      <c r="H12" s="12">
        <v>35</v>
      </c>
      <c r="I12" s="12">
        <v>37</v>
      </c>
      <c r="J12" s="12">
        <v>27</v>
      </c>
      <c r="K12" s="34">
        <f t="shared" si="0"/>
        <v>135</v>
      </c>
      <c r="L12" s="54" t="s">
        <v>111</v>
      </c>
    </row>
    <row r="13" spans="1:14" s="14" customFormat="1" ht="12.75" customHeight="1" x14ac:dyDescent="0.2">
      <c r="A13" s="11">
        <v>9</v>
      </c>
      <c r="B13" s="52">
        <v>22032060</v>
      </c>
      <c r="C13" s="53" t="s">
        <v>83</v>
      </c>
      <c r="D13" s="11">
        <v>50</v>
      </c>
      <c r="E13" s="11">
        <v>23</v>
      </c>
      <c r="F13" s="12">
        <v>11</v>
      </c>
      <c r="G13" s="11">
        <v>1</v>
      </c>
      <c r="H13" s="12">
        <v>13</v>
      </c>
      <c r="I13" s="12">
        <v>12</v>
      </c>
      <c r="J13" s="12">
        <v>10</v>
      </c>
      <c r="K13" s="34">
        <f t="shared" si="0"/>
        <v>47</v>
      </c>
      <c r="L13" s="54" t="s">
        <v>111</v>
      </c>
    </row>
    <row r="14" spans="1:14" s="14" customFormat="1" ht="12.75" customHeight="1" x14ac:dyDescent="0.2">
      <c r="A14" s="11">
        <v>10</v>
      </c>
      <c r="B14" s="52">
        <v>22032061</v>
      </c>
      <c r="C14" s="53" t="s">
        <v>84</v>
      </c>
      <c r="D14" s="11">
        <v>50</v>
      </c>
      <c r="E14" s="11">
        <v>23</v>
      </c>
      <c r="F14" s="12">
        <v>22</v>
      </c>
      <c r="G14" s="11">
        <v>5</v>
      </c>
      <c r="H14" s="12">
        <v>23</v>
      </c>
      <c r="I14" s="12">
        <v>3</v>
      </c>
      <c r="J14" s="12">
        <v>16</v>
      </c>
      <c r="K14" s="34">
        <f t="shared" si="0"/>
        <v>69</v>
      </c>
      <c r="L14" s="54" t="s">
        <v>111</v>
      </c>
    </row>
    <row r="15" spans="1:14" s="14" customFormat="1" ht="12.75" customHeight="1" x14ac:dyDescent="0.2">
      <c r="A15" s="11">
        <v>11</v>
      </c>
      <c r="B15" s="52">
        <v>22032062</v>
      </c>
      <c r="C15" s="53" t="s">
        <v>85</v>
      </c>
      <c r="D15" s="11">
        <v>50</v>
      </c>
      <c r="E15" s="11">
        <v>23</v>
      </c>
      <c r="F15" s="12">
        <v>39</v>
      </c>
      <c r="G15" s="11">
        <v>28</v>
      </c>
      <c r="H15" s="12">
        <v>41</v>
      </c>
      <c r="I15" s="12">
        <v>41</v>
      </c>
      <c r="J15" s="12">
        <v>40</v>
      </c>
      <c r="K15" s="34">
        <f t="shared" si="0"/>
        <v>189</v>
      </c>
      <c r="L15" s="52" t="s">
        <v>114</v>
      </c>
    </row>
    <row r="16" spans="1:14" s="14" customFormat="1" ht="12.75" customHeight="1" x14ac:dyDescent="0.2">
      <c r="A16" s="11">
        <v>12</v>
      </c>
      <c r="B16" s="52">
        <v>22032063</v>
      </c>
      <c r="C16" s="53" t="s">
        <v>86</v>
      </c>
      <c r="D16" s="11">
        <v>50</v>
      </c>
      <c r="E16" s="11">
        <v>23</v>
      </c>
      <c r="F16" s="12">
        <v>32</v>
      </c>
      <c r="G16" s="11">
        <v>19</v>
      </c>
      <c r="H16" s="12">
        <v>39</v>
      </c>
      <c r="I16" s="12">
        <v>25</v>
      </c>
      <c r="J16" s="12">
        <v>35</v>
      </c>
      <c r="K16" s="34">
        <f t="shared" si="0"/>
        <v>150</v>
      </c>
      <c r="L16" s="54" t="s">
        <v>111</v>
      </c>
      <c r="N16" s="55"/>
    </row>
    <row r="17" spans="1:12" s="14" customFormat="1" ht="12.75" customHeight="1" x14ac:dyDescent="0.2">
      <c r="A17" s="11">
        <v>13</v>
      </c>
      <c r="B17" s="52">
        <v>22032064</v>
      </c>
      <c r="C17" s="53" t="s">
        <v>87</v>
      </c>
      <c r="D17" s="11">
        <v>50</v>
      </c>
      <c r="E17" s="11">
        <v>23</v>
      </c>
      <c r="F17" s="12">
        <v>31</v>
      </c>
      <c r="G17" s="11">
        <v>1</v>
      </c>
      <c r="H17" s="12">
        <v>36</v>
      </c>
      <c r="I17" s="12">
        <v>15</v>
      </c>
      <c r="J17" s="12">
        <v>15</v>
      </c>
      <c r="K17" s="34">
        <f t="shared" si="0"/>
        <v>98</v>
      </c>
      <c r="L17" s="54" t="s">
        <v>111</v>
      </c>
    </row>
    <row r="18" spans="1:12" s="14" customFormat="1" ht="12.75" customHeight="1" x14ac:dyDescent="0.2">
      <c r="A18" s="11">
        <v>14</v>
      </c>
      <c r="B18" s="52">
        <v>22032065</v>
      </c>
      <c r="C18" s="53" t="s">
        <v>88</v>
      </c>
      <c r="D18" s="11">
        <v>50</v>
      </c>
      <c r="E18" s="11">
        <v>23</v>
      </c>
      <c r="F18" s="12" t="s">
        <v>191</v>
      </c>
      <c r="G18" s="11" t="s">
        <v>191</v>
      </c>
      <c r="H18" s="12">
        <v>14</v>
      </c>
      <c r="I18" s="12" t="s">
        <v>191</v>
      </c>
      <c r="J18" s="12">
        <v>7</v>
      </c>
      <c r="K18" s="34">
        <f t="shared" si="0"/>
        <v>21</v>
      </c>
      <c r="L18" s="54" t="s">
        <v>111</v>
      </c>
    </row>
    <row r="19" spans="1:12" s="14" customFormat="1" ht="12.75" customHeight="1" x14ac:dyDescent="0.2">
      <c r="A19" s="11">
        <v>15</v>
      </c>
      <c r="B19" s="52">
        <v>22032066</v>
      </c>
      <c r="C19" s="53" t="s">
        <v>89</v>
      </c>
      <c r="D19" s="11">
        <v>50</v>
      </c>
      <c r="E19" s="11">
        <v>23</v>
      </c>
      <c r="F19" s="12">
        <v>27</v>
      </c>
      <c r="G19" s="11">
        <v>4</v>
      </c>
      <c r="H19" s="12">
        <v>38</v>
      </c>
      <c r="I19" s="12">
        <v>23</v>
      </c>
      <c r="J19" s="12">
        <v>29</v>
      </c>
      <c r="K19" s="34">
        <f t="shared" si="0"/>
        <v>121</v>
      </c>
      <c r="L19" s="54" t="s">
        <v>111</v>
      </c>
    </row>
    <row r="20" spans="1:12" s="14" customFormat="1" ht="12.75" customHeight="1" x14ac:dyDescent="0.2">
      <c r="A20" s="11">
        <v>16</v>
      </c>
      <c r="B20" s="52">
        <v>22032067</v>
      </c>
      <c r="C20" s="53" t="s">
        <v>90</v>
      </c>
      <c r="D20" s="11">
        <v>50</v>
      </c>
      <c r="E20" s="11">
        <v>23</v>
      </c>
      <c r="F20" s="12">
        <v>35</v>
      </c>
      <c r="G20" s="11">
        <v>12</v>
      </c>
      <c r="H20" s="12">
        <v>37</v>
      </c>
      <c r="I20" s="12">
        <v>28</v>
      </c>
      <c r="J20" s="12">
        <v>31</v>
      </c>
      <c r="K20" s="34">
        <f t="shared" si="0"/>
        <v>143</v>
      </c>
      <c r="L20" s="54" t="s">
        <v>111</v>
      </c>
    </row>
    <row r="21" spans="1:12" s="14" customFormat="1" ht="12.75" customHeight="1" x14ac:dyDescent="0.2">
      <c r="A21" s="11">
        <v>17</v>
      </c>
      <c r="B21" s="52">
        <v>22032068</v>
      </c>
      <c r="C21" s="53" t="s">
        <v>91</v>
      </c>
      <c r="D21" s="11">
        <v>50</v>
      </c>
      <c r="E21" s="11">
        <v>23</v>
      </c>
      <c r="F21" s="12">
        <v>23</v>
      </c>
      <c r="G21" s="11">
        <v>9</v>
      </c>
      <c r="H21" s="12">
        <v>26</v>
      </c>
      <c r="I21" s="12">
        <v>17</v>
      </c>
      <c r="J21" s="12">
        <v>26</v>
      </c>
      <c r="K21" s="34">
        <f t="shared" si="0"/>
        <v>101</v>
      </c>
      <c r="L21" s="54" t="s">
        <v>111</v>
      </c>
    </row>
    <row r="22" spans="1:12" s="14" customFormat="1" ht="12.75" customHeight="1" x14ac:dyDescent="0.2">
      <c r="A22" s="11">
        <v>18</v>
      </c>
      <c r="B22" s="52">
        <v>22032069</v>
      </c>
      <c r="C22" s="18" t="s">
        <v>92</v>
      </c>
      <c r="D22" s="11">
        <v>50</v>
      </c>
      <c r="E22" s="11">
        <v>23</v>
      </c>
      <c r="F22" s="12">
        <v>25</v>
      </c>
      <c r="G22" s="11">
        <v>1</v>
      </c>
      <c r="H22" s="12">
        <v>29</v>
      </c>
      <c r="I22" s="12">
        <v>15</v>
      </c>
      <c r="J22" s="12">
        <v>27</v>
      </c>
      <c r="K22" s="34">
        <f t="shared" si="0"/>
        <v>97</v>
      </c>
      <c r="L22" s="54" t="s">
        <v>111</v>
      </c>
    </row>
    <row r="23" spans="1:12" s="14" customFormat="1" ht="12.75" customHeight="1" x14ac:dyDescent="0.2">
      <c r="A23" s="11">
        <v>19</v>
      </c>
      <c r="B23" s="52">
        <v>22032070</v>
      </c>
      <c r="C23" s="53" t="s">
        <v>93</v>
      </c>
      <c r="D23" s="11">
        <v>50</v>
      </c>
      <c r="E23" s="11">
        <v>23</v>
      </c>
      <c r="F23" s="12">
        <v>10</v>
      </c>
      <c r="G23" s="11">
        <v>6</v>
      </c>
      <c r="H23" s="12">
        <v>18</v>
      </c>
      <c r="I23" s="12">
        <v>5</v>
      </c>
      <c r="J23" s="12">
        <v>19</v>
      </c>
      <c r="K23" s="34">
        <f t="shared" si="0"/>
        <v>58</v>
      </c>
      <c r="L23" s="54" t="s">
        <v>111</v>
      </c>
    </row>
    <row r="24" spans="1:12" s="14" customFormat="1" ht="12.75" customHeight="1" x14ac:dyDescent="0.2">
      <c r="A24" s="11">
        <v>20</v>
      </c>
      <c r="B24" s="52">
        <v>22032071</v>
      </c>
      <c r="C24" s="53" t="s">
        <v>94</v>
      </c>
      <c r="D24" s="11">
        <v>50</v>
      </c>
      <c r="E24" s="11">
        <v>23</v>
      </c>
      <c r="F24" s="12">
        <v>17</v>
      </c>
      <c r="G24" s="11">
        <v>18</v>
      </c>
      <c r="H24" s="12">
        <v>31</v>
      </c>
      <c r="I24" s="12">
        <v>28</v>
      </c>
      <c r="J24" s="12">
        <v>32</v>
      </c>
      <c r="K24" s="34">
        <f t="shared" si="0"/>
        <v>126</v>
      </c>
      <c r="L24" s="54" t="s">
        <v>111</v>
      </c>
    </row>
    <row r="25" spans="1:12" s="14" customFormat="1" ht="12.75" customHeight="1" x14ac:dyDescent="0.2">
      <c r="A25" s="11">
        <v>21</v>
      </c>
      <c r="B25" s="52">
        <v>22032072</v>
      </c>
      <c r="C25" s="53" t="s">
        <v>95</v>
      </c>
      <c r="D25" s="11">
        <v>50</v>
      </c>
      <c r="E25" s="11">
        <v>23</v>
      </c>
      <c r="F25" s="12">
        <v>24</v>
      </c>
      <c r="G25" s="11">
        <v>31</v>
      </c>
      <c r="H25" s="12">
        <v>41</v>
      </c>
      <c r="I25" s="12">
        <v>35</v>
      </c>
      <c r="J25" s="12">
        <v>36</v>
      </c>
      <c r="K25" s="34">
        <f t="shared" si="0"/>
        <v>167</v>
      </c>
      <c r="L25" s="52" t="s">
        <v>114</v>
      </c>
    </row>
    <row r="26" spans="1:12" s="14" customFormat="1" ht="12.75" customHeight="1" x14ac:dyDescent="0.2">
      <c r="A26" s="11">
        <v>22</v>
      </c>
      <c r="B26" s="52">
        <v>22032073</v>
      </c>
      <c r="C26" s="53" t="s">
        <v>96</v>
      </c>
      <c r="D26" s="11">
        <v>50</v>
      </c>
      <c r="E26" s="11">
        <v>23</v>
      </c>
      <c r="F26" s="12">
        <v>23</v>
      </c>
      <c r="G26" s="11">
        <v>18</v>
      </c>
      <c r="H26" s="12">
        <v>32</v>
      </c>
      <c r="I26" s="12">
        <v>29</v>
      </c>
      <c r="J26" s="12">
        <v>29</v>
      </c>
      <c r="K26" s="34">
        <f t="shared" si="0"/>
        <v>131</v>
      </c>
      <c r="L26" s="54" t="s">
        <v>111</v>
      </c>
    </row>
    <row r="27" spans="1:12" s="14" customFormat="1" ht="12.75" customHeight="1" x14ac:dyDescent="0.2">
      <c r="A27" s="11">
        <v>23</v>
      </c>
      <c r="B27" s="52">
        <v>22032074</v>
      </c>
      <c r="C27" s="53" t="s">
        <v>97</v>
      </c>
      <c r="D27" s="11">
        <v>50</v>
      </c>
      <c r="E27" s="11">
        <v>23</v>
      </c>
      <c r="F27" s="12">
        <v>16</v>
      </c>
      <c r="G27" s="11">
        <v>13</v>
      </c>
      <c r="H27" s="12">
        <v>35</v>
      </c>
      <c r="I27" s="12">
        <v>23</v>
      </c>
      <c r="J27" s="12">
        <v>35</v>
      </c>
      <c r="K27" s="34">
        <f t="shared" si="0"/>
        <v>122</v>
      </c>
      <c r="L27" s="54" t="s">
        <v>111</v>
      </c>
    </row>
    <row r="28" spans="1:12" s="14" customFormat="1" ht="12.75" customHeight="1" x14ac:dyDescent="0.2">
      <c r="A28" s="11">
        <v>24</v>
      </c>
      <c r="B28" s="52">
        <v>22032075</v>
      </c>
      <c r="C28" s="18" t="s">
        <v>98</v>
      </c>
      <c r="D28" s="11">
        <v>50</v>
      </c>
      <c r="E28" s="11">
        <v>23</v>
      </c>
      <c r="F28" s="12">
        <v>29</v>
      </c>
      <c r="G28" s="11">
        <v>25</v>
      </c>
      <c r="H28" s="12">
        <v>38</v>
      </c>
      <c r="I28" s="12">
        <v>34</v>
      </c>
      <c r="J28" s="12">
        <v>43</v>
      </c>
      <c r="K28" s="34">
        <f t="shared" si="0"/>
        <v>169</v>
      </c>
      <c r="L28" s="52" t="s">
        <v>114</v>
      </c>
    </row>
    <row r="29" spans="1:12" s="14" customFormat="1" ht="12.75" customHeight="1" x14ac:dyDescent="0.2">
      <c r="A29" s="11">
        <v>25</v>
      </c>
      <c r="B29" s="52">
        <v>22032076</v>
      </c>
      <c r="C29" s="53" t="s">
        <v>99</v>
      </c>
      <c r="D29" s="11">
        <v>50</v>
      </c>
      <c r="E29" s="11">
        <v>23</v>
      </c>
      <c r="F29" s="12">
        <v>24</v>
      </c>
      <c r="G29" s="11">
        <v>25</v>
      </c>
      <c r="H29" s="12">
        <v>39</v>
      </c>
      <c r="I29" s="12">
        <v>37</v>
      </c>
      <c r="J29" s="12">
        <v>40</v>
      </c>
      <c r="K29" s="34">
        <f t="shared" si="0"/>
        <v>165</v>
      </c>
      <c r="L29" s="52" t="s">
        <v>114</v>
      </c>
    </row>
    <row r="30" spans="1:12" s="14" customFormat="1" ht="12.75" customHeight="1" x14ac:dyDescent="0.2">
      <c r="A30" s="11">
        <v>26</v>
      </c>
      <c r="B30" s="52">
        <v>22032077</v>
      </c>
      <c r="C30" s="53" t="s">
        <v>100</v>
      </c>
      <c r="D30" s="11">
        <v>50</v>
      </c>
      <c r="E30" s="11">
        <v>23</v>
      </c>
      <c r="F30" s="12">
        <v>36</v>
      </c>
      <c r="G30" s="11">
        <v>29</v>
      </c>
      <c r="H30" s="12">
        <v>43</v>
      </c>
      <c r="I30" s="12">
        <v>41</v>
      </c>
      <c r="J30" s="12">
        <v>40</v>
      </c>
      <c r="K30" s="34">
        <f t="shared" si="0"/>
        <v>189</v>
      </c>
      <c r="L30" s="52" t="s">
        <v>114</v>
      </c>
    </row>
    <row r="31" spans="1:12" s="14" customFormat="1" ht="12.75" customHeight="1" x14ac:dyDescent="0.2">
      <c r="A31" s="11">
        <v>27</v>
      </c>
      <c r="B31" s="52">
        <v>22032078</v>
      </c>
      <c r="C31" s="53" t="s">
        <v>101</v>
      </c>
      <c r="D31" s="11">
        <v>50</v>
      </c>
      <c r="E31" s="11">
        <v>23</v>
      </c>
      <c r="F31" s="12">
        <v>19</v>
      </c>
      <c r="G31" s="11">
        <v>10</v>
      </c>
      <c r="H31" s="12">
        <v>28</v>
      </c>
      <c r="I31" s="12">
        <v>23</v>
      </c>
      <c r="J31" s="12">
        <v>19</v>
      </c>
      <c r="K31" s="34">
        <f t="shared" si="0"/>
        <v>99</v>
      </c>
      <c r="L31" s="54" t="s">
        <v>111</v>
      </c>
    </row>
    <row r="32" spans="1:12" s="14" customFormat="1" ht="12.75" customHeight="1" x14ac:dyDescent="0.2">
      <c r="A32" s="11">
        <v>28</v>
      </c>
      <c r="B32" s="52">
        <v>22032079</v>
      </c>
      <c r="C32" s="53" t="s">
        <v>102</v>
      </c>
      <c r="D32" s="11">
        <v>50</v>
      </c>
      <c r="E32" s="11">
        <v>23</v>
      </c>
      <c r="F32" s="12">
        <v>17</v>
      </c>
      <c r="G32" s="11">
        <v>1</v>
      </c>
      <c r="H32" s="12">
        <v>32</v>
      </c>
      <c r="I32" s="12">
        <v>18</v>
      </c>
      <c r="J32" s="12">
        <v>23</v>
      </c>
      <c r="K32" s="34">
        <f t="shared" si="0"/>
        <v>91</v>
      </c>
      <c r="L32" s="54" t="s">
        <v>111</v>
      </c>
    </row>
    <row r="33" spans="1:12" s="14" customFormat="1" ht="12.75" customHeight="1" x14ac:dyDescent="0.2">
      <c r="A33" s="11">
        <v>29</v>
      </c>
      <c r="B33" s="52">
        <v>22032081</v>
      </c>
      <c r="C33" s="53" t="s">
        <v>103</v>
      </c>
      <c r="D33" s="11">
        <v>50</v>
      </c>
      <c r="E33" s="11">
        <v>23</v>
      </c>
      <c r="F33" s="12">
        <v>23</v>
      </c>
      <c r="G33" s="11">
        <v>15</v>
      </c>
      <c r="H33" s="12">
        <v>31</v>
      </c>
      <c r="I33" s="12">
        <v>23</v>
      </c>
      <c r="J33" s="12">
        <v>34</v>
      </c>
      <c r="K33" s="34">
        <f t="shared" si="0"/>
        <v>126</v>
      </c>
      <c r="L33" s="54" t="s">
        <v>111</v>
      </c>
    </row>
    <row r="34" spans="1:12" s="14" customFormat="1" ht="12.75" customHeight="1" x14ac:dyDescent="0.2">
      <c r="A34" s="11">
        <v>30</v>
      </c>
      <c r="B34" s="52">
        <v>22032082</v>
      </c>
      <c r="C34" s="53" t="s">
        <v>104</v>
      </c>
      <c r="D34" s="11">
        <v>50</v>
      </c>
      <c r="E34" s="11">
        <v>23</v>
      </c>
      <c r="F34" s="12">
        <v>24</v>
      </c>
      <c r="G34" s="11">
        <v>12</v>
      </c>
      <c r="H34" s="12">
        <v>30</v>
      </c>
      <c r="I34" s="12">
        <v>17</v>
      </c>
      <c r="J34" s="12">
        <v>20</v>
      </c>
      <c r="K34" s="34">
        <f t="shared" si="0"/>
        <v>103</v>
      </c>
      <c r="L34" s="54" t="s">
        <v>111</v>
      </c>
    </row>
    <row r="35" spans="1:12" s="14" customFormat="1" ht="12.75" customHeight="1" x14ac:dyDescent="0.2">
      <c r="A35" s="11">
        <v>31</v>
      </c>
      <c r="B35" s="52">
        <v>22032083</v>
      </c>
      <c r="C35" s="53" t="s">
        <v>105</v>
      </c>
      <c r="D35" s="11">
        <v>50</v>
      </c>
      <c r="E35" s="11">
        <v>23</v>
      </c>
      <c r="F35" s="12">
        <v>37</v>
      </c>
      <c r="G35" s="11">
        <v>31</v>
      </c>
      <c r="H35" s="12">
        <v>41</v>
      </c>
      <c r="I35" s="12">
        <v>41</v>
      </c>
      <c r="J35" s="12">
        <v>41</v>
      </c>
      <c r="K35" s="34">
        <f t="shared" si="0"/>
        <v>191</v>
      </c>
      <c r="L35" s="52" t="s">
        <v>114</v>
      </c>
    </row>
    <row r="36" spans="1:12" s="14" customFormat="1" ht="12.75" customHeight="1" x14ac:dyDescent="0.2">
      <c r="A36" s="11">
        <v>32</v>
      </c>
      <c r="B36" s="52">
        <v>22032084</v>
      </c>
      <c r="C36" s="53" t="s">
        <v>106</v>
      </c>
      <c r="D36" s="11">
        <v>50</v>
      </c>
      <c r="E36" s="11">
        <v>23</v>
      </c>
      <c r="F36" s="12">
        <v>12</v>
      </c>
      <c r="G36" s="11">
        <v>15</v>
      </c>
      <c r="H36" s="12">
        <v>22</v>
      </c>
      <c r="I36" s="12">
        <v>26</v>
      </c>
      <c r="J36" s="12">
        <v>18</v>
      </c>
      <c r="K36" s="34">
        <f t="shared" si="0"/>
        <v>93</v>
      </c>
      <c r="L36" s="54" t="s">
        <v>111</v>
      </c>
    </row>
    <row r="37" spans="1:12" s="14" customFormat="1" ht="12.75" customHeight="1" x14ac:dyDescent="0.2">
      <c r="A37" s="11">
        <v>33</v>
      </c>
      <c r="B37" s="52">
        <v>22032085</v>
      </c>
      <c r="C37" s="53" t="s">
        <v>107</v>
      </c>
      <c r="D37" s="11">
        <v>50</v>
      </c>
      <c r="E37" s="11">
        <v>23</v>
      </c>
      <c r="F37" s="12">
        <v>29</v>
      </c>
      <c r="G37" s="11">
        <v>19</v>
      </c>
      <c r="H37" s="12">
        <v>42</v>
      </c>
      <c r="I37" s="12">
        <v>40</v>
      </c>
      <c r="J37" s="12">
        <v>34</v>
      </c>
      <c r="K37" s="34">
        <f t="shared" si="0"/>
        <v>164</v>
      </c>
      <c r="L37" s="54" t="s">
        <v>111</v>
      </c>
    </row>
    <row r="38" spans="1:12" s="14" customFormat="1" ht="12.75" customHeight="1" x14ac:dyDescent="0.2">
      <c r="A38" s="11">
        <v>34</v>
      </c>
      <c r="B38" s="52">
        <v>22032086</v>
      </c>
      <c r="C38" s="53" t="s">
        <v>108</v>
      </c>
      <c r="D38" s="11">
        <v>50</v>
      </c>
      <c r="E38" s="11">
        <v>23</v>
      </c>
      <c r="F38" s="12">
        <v>2</v>
      </c>
      <c r="G38" s="11">
        <v>9</v>
      </c>
      <c r="H38" s="12">
        <v>39</v>
      </c>
      <c r="I38" s="12">
        <v>10</v>
      </c>
      <c r="J38" s="12">
        <v>26</v>
      </c>
      <c r="K38" s="34">
        <f t="shared" si="0"/>
        <v>86</v>
      </c>
      <c r="L38" s="54" t="s">
        <v>111</v>
      </c>
    </row>
    <row r="39" spans="1:12" s="14" customFormat="1" ht="12.75" customHeight="1" x14ac:dyDescent="0.2">
      <c r="A39" s="11">
        <v>35</v>
      </c>
      <c r="B39" s="52">
        <v>22032088</v>
      </c>
      <c r="C39" s="53" t="s">
        <v>109</v>
      </c>
      <c r="D39" s="11">
        <v>50</v>
      </c>
      <c r="E39" s="11">
        <v>23</v>
      </c>
      <c r="F39" s="12">
        <v>10</v>
      </c>
      <c r="G39" s="15">
        <v>15</v>
      </c>
      <c r="H39" s="12">
        <v>34</v>
      </c>
      <c r="I39" s="12">
        <v>17</v>
      </c>
      <c r="J39" s="12">
        <v>28</v>
      </c>
      <c r="K39" s="34">
        <f t="shared" si="0"/>
        <v>104</v>
      </c>
      <c r="L39" s="54" t="s">
        <v>111</v>
      </c>
    </row>
    <row r="40" spans="1:12" s="14" customFormat="1" ht="12.75" customHeight="1" x14ac:dyDescent="0.2">
      <c r="A40" s="11">
        <v>36</v>
      </c>
      <c r="B40" s="52">
        <v>22032089</v>
      </c>
      <c r="C40" s="53" t="s">
        <v>110</v>
      </c>
      <c r="D40" s="11">
        <v>50</v>
      </c>
      <c r="E40" s="11">
        <v>23</v>
      </c>
      <c r="F40" s="12">
        <v>42</v>
      </c>
      <c r="G40" s="11">
        <v>35</v>
      </c>
      <c r="H40" s="12">
        <v>41</v>
      </c>
      <c r="I40" s="12">
        <v>42</v>
      </c>
      <c r="J40" s="12">
        <v>44</v>
      </c>
      <c r="K40" s="34">
        <f t="shared" si="0"/>
        <v>204</v>
      </c>
      <c r="L40" s="52" t="s">
        <v>114</v>
      </c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</sheetData>
  <mergeCells count="3">
    <mergeCell ref="A1:L1"/>
    <mergeCell ref="A2:L2"/>
    <mergeCell ref="A3:L3"/>
  </mergeCells>
  <pageMargins left="0.39" right="0.47" top="0.39" bottom="0.4" header="0.3" footer="0.3"/>
  <pageSetup paperSize="9" scale="74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BBA II</vt:lpstr>
      <vt:lpstr>Sheet2</vt:lpstr>
      <vt:lpstr>BBA IV</vt:lpstr>
      <vt:lpstr>BBA VI</vt:lpstr>
      <vt:lpstr>BBA 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2026-07-07T03:26:41Z</dcterms:modified>
</cp:coreProperties>
</file>